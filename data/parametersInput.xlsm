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phamandla (Work)\Desktop\Work\Lesira-Teq\Layout Optimization\Lesira-Teq-Layout\LayoutOptimizationWithDynamicInputs\data\"/>
    </mc:Choice>
  </mc:AlternateContent>
  <xr:revisionPtr revIDLastSave="0" documentId="13_ncr:1_{F3457AFF-BB87-4294-AAEB-2D3D5637B56C}" xr6:coauthVersionLast="47" xr6:coauthVersionMax="47" xr10:uidLastSave="{00000000-0000-0000-0000-000000000000}"/>
  <bookViews>
    <workbookView xWindow="-120" yWindow="-120" windowWidth="24240" windowHeight="13140" xr2:uid="{85C7F682-3858-46BC-97E3-8C6EDB924BA1}"/>
  </bookViews>
  <sheets>
    <sheet name="endingStock" sheetId="5" r:id="rId1"/>
    <sheet name="chart" sheetId="6" r:id="rId2"/>
    <sheet name="ZeroStockOpening" sheetId="2" r:id="rId3"/>
    <sheet name="BufferStockOpening" sheetId="3" r:id="rId4"/>
  </sheets>
  <definedNames>
    <definedName name="ExternalData_1" localSheetId="0" hidden="1">endingStock!$A$1:$C$26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5" l="1" a="1"/>
  <c r="E3" i="5" s="1"/>
  <c r="G3" i="5" s="1" a="1"/>
  <c r="B119" i="3" l="1"/>
  <c r="B91" i="3"/>
  <c r="B49" i="3"/>
  <c r="B133" i="3"/>
  <c r="B105" i="3"/>
  <c r="B63" i="3"/>
  <c r="B98" i="3"/>
  <c r="B56" i="3"/>
  <c r="B112" i="3"/>
  <c r="B70" i="3"/>
  <c r="G3" i="5"/>
  <c r="B35" i="3"/>
  <c r="B147" i="3"/>
  <c r="B168" i="3"/>
  <c r="B161" i="3"/>
  <c r="B140" i="3"/>
  <c r="B4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67957F-3C1C-4855-951D-36FC55114699}" keepAlive="1" name="Query - endingStock" description="Connection to the 'endingStock' query in the workbook." type="5" refreshedVersion="8" background="1" saveData="1">
    <dbPr connection="Provider=Microsoft.Mashup.OleDb.1;Data Source=$Workbook$;Location=endingStock;Extended Properties=&quot;&quot;" command="SELECT * FROM [endingSto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<sst xmlns="http://schemas.openxmlformats.org/spreadsheetml/2006/main" count="570" uniqueCount="65">
  <si>
    <t>Raw Material Batch Size</t>
  </si>
  <si>
    <t>Testbench Batch Size</t>
  </si>
  <si>
    <t>Testbench Preparation Time</t>
  </si>
  <si>
    <t>units</t>
  </si>
  <si>
    <t>seconds</t>
  </si>
  <si>
    <t>Parameter</t>
  </si>
  <si>
    <t>Value</t>
  </si>
  <si>
    <t>Unit of Measurement</t>
  </si>
  <si>
    <t>Lid Assembly</t>
  </si>
  <si>
    <t>Buffer Stock</t>
  </si>
  <si>
    <t>Delay Capacity</t>
  </si>
  <si>
    <t>Delay Time Mean</t>
  </si>
  <si>
    <t>Delay Time Standard Dev.</t>
  </si>
  <si>
    <t>Failure Rate</t>
  </si>
  <si>
    <t>meters</t>
  </si>
  <si>
    <t>Coil Winding</t>
  </si>
  <si>
    <t>Plunger Assembly</t>
  </si>
  <si>
    <t>Rotor Assembly</t>
  </si>
  <si>
    <t>Body Assembly</t>
  </si>
  <si>
    <t>Valve Assembly</t>
  </si>
  <si>
    <t>Valve Functional Test</t>
  </si>
  <si>
    <t>Testbench</t>
  </si>
  <si>
    <t>Electronics Preparation</t>
  </si>
  <si>
    <t>Electronics Soldering</t>
  </si>
  <si>
    <t>Battery Assembly</t>
  </si>
  <si>
    <t>Probe Assembly</t>
  </si>
  <si>
    <t>Power Consumption</t>
  </si>
  <si>
    <t>Electronics NIDA</t>
  </si>
  <si>
    <t>Clip Insertion</t>
  </si>
  <si>
    <t>Cover Assembly</t>
  </si>
  <si>
    <t>Meter to Manifold</t>
  </si>
  <si>
    <t>Manifold Preparation</t>
  </si>
  <si>
    <t>Manifold Assembly</t>
  </si>
  <si>
    <t>Manifold Pressure Test</t>
  </si>
  <si>
    <t>Manifold to Box</t>
  </si>
  <si>
    <t>CIU Assembly</t>
  </si>
  <si>
    <t>Shipping</t>
  </si>
  <si>
    <t>Dispatch</t>
  </si>
  <si>
    <t>station</t>
  </si>
  <si>
    <t>Out</t>
  </si>
  <si>
    <t xml:space="preserve"> endingStock</t>
  </si>
  <si>
    <t xml:space="preserve"> recipient</t>
  </si>
  <si>
    <t>LidAssembly</t>
  </si>
  <si>
    <t>ValveAssembly</t>
  </si>
  <si>
    <t>CoilWinding</t>
  </si>
  <si>
    <t>BodyAssembly</t>
  </si>
  <si>
    <t>PlungerAssembly</t>
  </si>
  <si>
    <t>RotorAssembly</t>
  </si>
  <si>
    <t>ValveFunctionalTest</t>
  </si>
  <si>
    <t>ElectronicsPreparation</t>
  </si>
  <si>
    <t>ElectronicsSoldering</t>
  </si>
  <si>
    <t>PowerConsumption</t>
  </si>
  <si>
    <t>BatteryAssembly</t>
  </si>
  <si>
    <t>ProbeAssembly</t>
  </si>
  <si>
    <t>ElectronicsNIDA</t>
  </si>
  <si>
    <t>ClipInsertion</t>
  </si>
  <si>
    <t>CoverAssembly</t>
  </si>
  <si>
    <t>MetertoManifold</t>
  </si>
  <si>
    <t>ManifoldPressureTest</t>
  </si>
  <si>
    <t>ManifoldPreparation</t>
  </si>
  <si>
    <t>ManifoldAssembly</t>
  </si>
  <si>
    <t>ManifoldtoBox</t>
  </si>
  <si>
    <t>CIUAssembly</t>
  </si>
  <si>
    <t>Run</t>
  </si>
  <si>
    <t>ProductOut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</si>
</sst>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Buffer Calibration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512776210866097E-2"/>
          <c:y val="8.143750000000001E-2"/>
          <c:w val="0.80603160077670255"/>
          <c:h val="0.86746112204724413"/>
        </c:manualLayout>
      </c:layout>
      <c:lineChart>
        <c:grouping val="standard"/>
        <c:varyColors val="0"/>
        <c:ser>
          <c:idx val="0"/>
          <c:order val="0"/>
          <c:tx>
            <c:strRef>
              <c:f>endingStock!$H$3</c:f>
              <c:strCache>
                <c:ptCount val="1"/>
                <c:pt idx="0">
                  <c:v>ValveAssembly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endingStock!$I$3:$CE$3</c:f>
            </c:numRef>
          </c:val>
          <c:smooth val="0"/>
          <c:extLst>
            <c:ext xmlns:c16="http://schemas.microsoft.com/office/drawing/2014/chart" uri="{C3380CC4-5D6E-409C-BE32-E72D297353CC}">
              <c16:uniqueId val="{00000000-D535-4AD5-BC4F-DD0BC96EE076}"/>
            </c:ext>
          </c:extLst>
        </c:ser>
        <c:ser>
          <c:idx val="1"/>
          <c:order val="1"/>
          <c:tx>
            <c:strRef>
              <c:f>endingStock!$H$4</c:f>
              <c:strCache>
                <c:ptCount val="1"/>
                <c:pt idx="0">
                  <c:v>BodyAssembly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endingStock!$I$4:$CE$4</c:f>
            </c:numRef>
          </c:val>
          <c:smooth val="0"/>
          <c:extLst>
            <c:ext xmlns:c16="http://schemas.microsoft.com/office/drawing/2014/chart" uri="{C3380CC4-5D6E-409C-BE32-E72D297353CC}">
              <c16:uniqueId val="{00000001-D535-4AD5-BC4F-DD0BC96EE076}"/>
            </c:ext>
          </c:extLst>
        </c:ser>
        <c:ser>
          <c:idx val="2"/>
          <c:order val="2"/>
          <c:tx>
            <c:strRef>
              <c:f>endingStock!$H$5</c:f>
              <c:strCache>
                <c:ptCount val="1"/>
                <c:pt idx="0">
                  <c:v>ValveFunctionalTest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endingStock!$I$5:$CE$5</c:f>
            </c:numRef>
          </c:val>
          <c:smooth val="0"/>
          <c:extLst>
            <c:ext xmlns:c16="http://schemas.microsoft.com/office/drawing/2014/chart" uri="{C3380CC4-5D6E-409C-BE32-E72D297353CC}">
              <c16:uniqueId val="{00000002-D535-4AD5-BC4F-DD0BC96EE076}"/>
            </c:ext>
          </c:extLst>
        </c:ser>
        <c:ser>
          <c:idx val="3"/>
          <c:order val="3"/>
          <c:tx>
            <c:strRef>
              <c:f>endingStock!$H$6</c:f>
              <c:strCache>
                <c:ptCount val="1"/>
                <c:pt idx="0">
                  <c:v>Testbench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endingStock!$I$6:$CE$6</c:f>
            </c:numRef>
          </c:val>
          <c:smooth val="0"/>
          <c:extLst>
            <c:ext xmlns:c16="http://schemas.microsoft.com/office/drawing/2014/chart" uri="{C3380CC4-5D6E-409C-BE32-E72D297353CC}">
              <c16:uniqueId val="{00000003-D535-4AD5-BC4F-DD0BC96EE076}"/>
            </c:ext>
          </c:extLst>
        </c:ser>
        <c:ser>
          <c:idx val="4"/>
          <c:order val="4"/>
          <c:tx>
            <c:strRef>
              <c:f>endingStock!$H$7</c:f>
              <c:strCache>
                <c:ptCount val="1"/>
                <c:pt idx="0">
                  <c:v>ElectronicsPreparation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endingStock!$I$7:$CE$7</c:f>
            </c:numRef>
          </c:val>
          <c:smooth val="0"/>
          <c:extLst>
            <c:ext xmlns:c16="http://schemas.microsoft.com/office/drawing/2014/chart" uri="{C3380CC4-5D6E-409C-BE32-E72D297353CC}">
              <c16:uniqueId val="{00000004-D535-4AD5-BC4F-DD0BC96EE076}"/>
            </c:ext>
          </c:extLst>
        </c:ser>
        <c:ser>
          <c:idx val="5"/>
          <c:order val="5"/>
          <c:tx>
            <c:strRef>
              <c:f>endingStock!$H$8</c:f>
              <c:strCache>
                <c:ptCount val="1"/>
                <c:pt idx="0">
                  <c:v>ElectronicsSoldering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endingStock!$I$8:$CE$8</c:f>
            </c:numRef>
          </c:val>
          <c:smooth val="0"/>
          <c:extLst>
            <c:ext xmlns:c16="http://schemas.microsoft.com/office/drawing/2014/chart" uri="{C3380CC4-5D6E-409C-BE32-E72D297353CC}">
              <c16:uniqueId val="{00000005-D535-4AD5-BC4F-DD0BC96EE076}"/>
            </c:ext>
          </c:extLst>
        </c:ser>
        <c:ser>
          <c:idx val="6"/>
          <c:order val="6"/>
          <c:tx>
            <c:strRef>
              <c:f>endingStock!$H$9</c:f>
              <c:strCache>
                <c:ptCount val="1"/>
                <c:pt idx="0">
                  <c:v>PowerConsumption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endingStock!$I$9:$CE$9</c:f>
            </c:numRef>
          </c:val>
          <c:smooth val="0"/>
          <c:extLst>
            <c:ext xmlns:c16="http://schemas.microsoft.com/office/drawing/2014/chart" uri="{C3380CC4-5D6E-409C-BE32-E72D297353CC}">
              <c16:uniqueId val="{00000006-D535-4AD5-BC4F-DD0BC96EE076}"/>
            </c:ext>
          </c:extLst>
        </c:ser>
        <c:ser>
          <c:idx val="7"/>
          <c:order val="7"/>
          <c:tx>
            <c:strRef>
              <c:f>endingStock!$H$10</c:f>
              <c:strCache>
                <c:ptCount val="1"/>
                <c:pt idx="0">
                  <c:v>ElectronicsNIDA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endingStock!$I$10:$CE$10</c:f>
            </c:numRef>
          </c:val>
          <c:smooth val="0"/>
          <c:extLst>
            <c:ext xmlns:c16="http://schemas.microsoft.com/office/drawing/2014/chart" uri="{C3380CC4-5D6E-409C-BE32-E72D297353CC}">
              <c16:uniqueId val="{00000007-D535-4AD5-BC4F-DD0BC96EE076}"/>
            </c:ext>
          </c:extLst>
        </c:ser>
        <c:ser>
          <c:idx val="8"/>
          <c:order val="8"/>
          <c:tx>
            <c:strRef>
              <c:f>endingStock!$H$11</c:f>
              <c:strCache>
                <c:ptCount val="1"/>
                <c:pt idx="0">
                  <c:v>ClipInsertion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endingStock!$I$11:$CE$11</c:f>
            </c:numRef>
          </c:val>
          <c:smooth val="0"/>
          <c:extLst>
            <c:ext xmlns:c16="http://schemas.microsoft.com/office/drawing/2014/chart" uri="{C3380CC4-5D6E-409C-BE32-E72D297353CC}">
              <c16:uniqueId val="{00000008-D535-4AD5-BC4F-DD0BC96EE076}"/>
            </c:ext>
          </c:extLst>
        </c:ser>
        <c:ser>
          <c:idx val="9"/>
          <c:order val="9"/>
          <c:tx>
            <c:strRef>
              <c:f>endingStock!$H$12</c:f>
              <c:strCache>
                <c:ptCount val="1"/>
                <c:pt idx="0">
                  <c:v>CoverAssembly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endingStock!$I$12:$CE$12</c:f>
            </c:numRef>
          </c:val>
          <c:smooth val="0"/>
          <c:extLst>
            <c:ext xmlns:c16="http://schemas.microsoft.com/office/drawing/2014/chart" uri="{C3380CC4-5D6E-409C-BE32-E72D297353CC}">
              <c16:uniqueId val="{00000009-D535-4AD5-BC4F-DD0BC96EE076}"/>
            </c:ext>
          </c:extLst>
        </c:ser>
        <c:ser>
          <c:idx val="10"/>
          <c:order val="10"/>
          <c:tx>
            <c:strRef>
              <c:f>endingStock!$H$13</c:f>
              <c:strCache>
                <c:ptCount val="1"/>
                <c:pt idx="0">
                  <c:v>MetertoManifold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endingStock!$I$13:$CE$13</c:f>
            </c:numRef>
          </c:val>
          <c:smooth val="0"/>
          <c:extLst>
            <c:ext xmlns:c16="http://schemas.microsoft.com/office/drawing/2014/chart" uri="{C3380CC4-5D6E-409C-BE32-E72D297353CC}">
              <c16:uniqueId val="{0000000A-D535-4AD5-BC4F-DD0BC96EE076}"/>
            </c:ext>
          </c:extLst>
        </c:ser>
        <c:ser>
          <c:idx val="11"/>
          <c:order val="11"/>
          <c:tx>
            <c:strRef>
              <c:f>endingStock!$H$14</c:f>
              <c:strCache>
                <c:ptCount val="1"/>
                <c:pt idx="0">
                  <c:v>ManifoldPressureTest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endingStock!$I$14:$CE$14</c:f>
            </c:numRef>
          </c:val>
          <c:smooth val="0"/>
          <c:extLst>
            <c:ext xmlns:c16="http://schemas.microsoft.com/office/drawing/2014/chart" uri="{C3380CC4-5D6E-409C-BE32-E72D297353CC}">
              <c16:uniqueId val="{0000000B-D535-4AD5-BC4F-DD0BC96EE076}"/>
            </c:ext>
          </c:extLst>
        </c:ser>
        <c:ser>
          <c:idx val="12"/>
          <c:order val="12"/>
          <c:tx>
            <c:strRef>
              <c:f>endingStock!$H$15</c:f>
              <c:strCache>
                <c:ptCount val="1"/>
                <c:pt idx="0">
                  <c:v>ManifoldAssembly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endingStock!$I$15:$CE$15</c:f>
            </c:numRef>
          </c:val>
          <c:smooth val="0"/>
          <c:extLst>
            <c:ext xmlns:c16="http://schemas.microsoft.com/office/drawing/2014/chart" uri="{C3380CC4-5D6E-409C-BE32-E72D297353CC}">
              <c16:uniqueId val="{0000000C-D535-4AD5-BC4F-DD0BC96EE076}"/>
            </c:ext>
          </c:extLst>
        </c:ser>
        <c:ser>
          <c:idx val="13"/>
          <c:order val="13"/>
          <c:tx>
            <c:strRef>
              <c:f>endingStock!$H$16</c:f>
              <c:strCache>
                <c:ptCount val="1"/>
                <c:pt idx="0">
                  <c:v>ManifoldtoBox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endingStock!$I$16:$CE$16</c:f>
            </c:numRef>
          </c:val>
          <c:smooth val="0"/>
          <c:extLst>
            <c:ext xmlns:c16="http://schemas.microsoft.com/office/drawing/2014/chart" uri="{C3380CC4-5D6E-409C-BE32-E72D297353CC}">
              <c16:uniqueId val="{0000000D-D535-4AD5-BC4F-DD0BC96EE076}"/>
            </c:ext>
          </c:extLst>
        </c:ser>
        <c:ser>
          <c:idx val="16"/>
          <c:order val="15"/>
          <c:tx>
            <c:strRef>
              <c:f>endingStock!$H$18</c:f>
              <c:strCache>
                <c:ptCount val="1"/>
                <c:pt idx="0">
                  <c:v>Dispatch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endingStock!$I$18:$CE$18</c:f>
            </c:numRef>
          </c:val>
          <c:smooth val="0"/>
          <c:extLst>
            <c:ext xmlns:c16="http://schemas.microsoft.com/office/drawing/2014/chart" uri="{C3380CC4-5D6E-409C-BE32-E72D297353CC}">
              <c16:uniqueId val="{00000010-D535-4AD5-BC4F-DD0BC96EE076}"/>
            </c:ext>
          </c:extLst>
        </c:ser>
        <c:ser>
          <c:idx val="17"/>
          <c:order val="16"/>
          <c:tx>
            <c:strRef>
              <c:f>endingStock!$H$19</c:f>
              <c:strCache>
                <c:ptCount val="1"/>
                <c:pt idx="0">
                  <c:v>Out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endingStock!$I$19:$CE$19</c:f>
            </c:numRef>
          </c:val>
          <c:smooth val="0"/>
          <c:extLst>
            <c:ext xmlns:c16="http://schemas.microsoft.com/office/drawing/2014/chart" uri="{C3380CC4-5D6E-409C-BE32-E72D297353CC}">
              <c16:uniqueId val="{00000011-D535-4AD5-BC4F-DD0BC96EE076}"/>
            </c:ext>
          </c:extLst>
        </c:ser>
        <c:ser>
          <c:idx val="14"/>
          <c:order val="17"/>
          <c:tx>
            <c:strRef>
              <c:f>endingStock!$H$20</c:f>
              <c:strCache>
                <c:ptCount val="1"/>
                <c:pt idx="0">
                  <c:v>ProductOut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endingStock!$I$20:$CE$20</c:f>
            </c:numRef>
          </c:val>
          <c:smooth val="0"/>
          <c:extLst>
            <c:ext xmlns:c16="http://schemas.microsoft.com/office/drawing/2014/chart" uri="{C3380CC4-5D6E-409C-BE32-E72D297353CC}">
              <c16:uniqueId val="{00000012-D535-4AD5-BC4F-DD0BC96EE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570879"/>
        <c:axId val="1118574239"/>
        <c:extLst>
          <c:ext xmlns:c15="http://schemas.microsoft.com/office/drawing/2012/chart" uri="{02D57815-91ED-43cb-92C2-25804820EDAC}">
            <c15:filteredLineSeries>
              <c15:ser>
                <c:idx val="15"/>
                <c:order val="14"/>
                <c:tx>
                  <c:strRef>
                    <c:extLst>
                      <c:ext uri="{02D57815-91ED-43cb-92C2-25804820EDAC}">
                        <c15:formulaRef>
                          <c15:sqref>endingStock!$H$17</c15:sqref>
                        </c15:formulaRef>
                      </c:ext>
                    </c:extLst>
                    <c:strCache>
                      <c:ptCount val="1"/>
                      <c:pt idx="0">
                        <c:v>Shipping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endingStock!$I$17:$CE$17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F-D535-4AD5-BC4F-DD0BC96EE076}"/>
                  </c:ext>
                </c:extLst>
              </c15:ser>
            </c15:filteredLineSeries>
          </c:ext>
        </c:extLst>
      </c:lineChart>
      <c:catAx>
        <c:axId val="111857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Run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574239"/>
        <c:crosses val="autoZero"/>
        <c:auto val="1"/>
        <c:lblAlgn val="ctr"/>
        <c:lblOffset val="100"/>
        <c:noMultiLvlLbl val="0"/>
      </c:catAx>
      <c:valAx>
        <c:axId val="111857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Number of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5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345140942377852"/>
          <c:y val="0.10660187007874018"/>
          <c:w val="0.13076657265196578"/>
          <c:h val="0.597660433070866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9525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D758B3-DE86-486A-8082-B7A671A65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6E4674-FFE9-4181-8A3F-DF95AD6013CF}" autoFormatId="16" applyNumberFormats="0" applyBorderFormats="0" applyFontFormats="0" applyPatternFormats="0" applyAlignmentFormats="0" applyWidthHeightFormats="0">
  <queryTableRefresh nextId="8">
    <queryTableFields count="3">
      <queryTableField id="1" name="station" tableColumnId="1"/>
      <queryTableField id="6" name=" endingStock" tableColumnId="2"/>
      <queryTableField id="7" name=" recipi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EDD0E8-349F-465B-91F6-3048CD12F2F0}" name="endingStock" displayName="endingStock" ref="A1:C26" tableType="queryTable" totalsRowShown="0">
  <autoFilter ref="A1:C26" xr:uid="{60EDD0E8-349F-465B-91F6-3048CD12F2F0}"/>
  <tableColumns count="3">
    <tableColumn id="1" xr3:uid="{8A52D0EA-0A5C-42BA-99AC-421D4C6EF41B}" uniqueName="1" name="station" queryTableFieldId="1" dataDxfId="2"/>
    <tableColumn id="2" xr3:uid="{D08A9FC4-21A4-4EC9-B5DB-F7984EF3DCB0}" uniqueName="2" name=" endingStock" queryTableFieldId="6"/>
    <tableColumn id="3" xr3:uid="{DB38FB84-71B0-406C-A581-BE8651EA69A8}" uniqueName="3" name=" recipient" queryTableFieldId="7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BD1D1-9C80-47E3-BC56-11F87836F978}">
  <sheetPr codeName="Sheet1"/>
  <dimension ref="A1:CW26"/>
  <sheetViews>
    <sheetView tabSelected="1" zoomScale="130" zoomScaleNormal="130" workbookViewId="0">
      <selection activeCell="F16" sqref="F16"/>
    </sheetView>
  </sheetViews>
  <sheetFormatPr defaultRowHeight="15" x14ac:dyDescent="0.25"/>
  <cols>
    <col min="1" max="1" width="21.42578125" bestFit="1" customWidth="1"/>
    <col min="2" max="2" width="14.5703125" bestFit="1" customWidth="1"/>
    <col min="3" max="3" width="21.42578125" bestFit="1" customWidth="1"/>
    <col min="4" max="4" width="9.140625" customWidth="1"/>
    <col min="5" max="5" width="21.85546875" customWidth="1"/>
    <col min="6" max="6" width="5.5703125" bestFit="1" customWidth="1"/>
    <col min="7" max="7" width="0" hidden="1" customWidth="1"/>
    <col min="8" max="8" width="21.42578125" hidden="1" customWidth="1"/>
    <col min="9" max="99" width="6.140625" hidden="1" customWidth="1"/>
  </cols>
  <sheetData>
    <row r="1" spans="1:101" x14ac:dyDescent="0.25">
      <c r="A1" t="s">
        <v>38</v>
      </c>
      <c r="B1" t="s">
        <v>40</v>
      </c>
      <c r="C1" t="s">
        <v>41</v>
      </c>
      <c r="I1" s="3" t="s">
        <v>63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</row>
    <row r="2" spans="1:101" x14ac:dyDescent="0.25">
      <c r="A2" s="2" t="s">
        <v>42</v>
      </c>
      <c r="B2">
        <v>367</v>
      </c>
      <c r="C2" s="2" t="s">
        <v>43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  <c r="AC2">
        <v>21</v>
      </c>
      <c r="AD2">
        <v>22</v>
      </c>
      <c r="AE2">
        <v>23</v>
      </c>
      <c r="AF2">
        <v>24</v>
      </c>
      <c r="AG2">
        <v>25</v>
      </c>
      <c r="AH2">
        <v>26</v>
      </c>
      <c r="AI2">
        <v>27</v>
      </c>
      <c r="AJ2">
        <v>28</v>
      </c>
      <c r="AK2">
        <v>29</v>
      </c>
      <c r="AL2">
        <v>30</v>
      </c>
      <c r="AM2">
        <v>31</v>
      </c>
      <c r="AN2">
        <v>32</v>
      </c>
      <c r="AO2">
        <v>33</v>
      </c>
      <c r="AP2">
        <v>34</v>
      </c>
      <c r="AQ2">
        <v>35</v>
      </c>
      <c r="AR2">
        <v>36</v>
      </c>
      <c r="AS2">
        <v>37</v>
      </c>
      <c r="AT2">
        <v>38</v>
      </c>
      <c r="AU2">
        <v>39</v>
      </c>
      <c r="AV2">
        <v>40</v>
      </c>
      <c r="AW2">
        <v>41</v>
      </c>
      <c r="AX2">
        <v>42</v>
      </c>
      <c r="AY2">
        <v>43</v>
      </c>
      <c r="AZ2">
        <v>44</v>
      </c>
      <c r="BA2">
        <v>45</v>
      </c>
      <c r="BB2">
        <v>46</v>
      </c>
      <c r="BC2">
        <v>47</v>
      </c>
      <c r="BD2">
        <v>48</v>
      </c>
      <c r="BE2">
        <v>49</v>
      </c>
      <c r="BF2">
        <v>50</v>
      </c>
      <c r="BG2">
        <v>51</v>
      </c>
      <c r="BH2">
        <v>52</v>
      </c>
      <c r="BI2">
        <v>53</v>
      </c>
      <c r="BJ2">
        <v>54</v>
      </c>
      <c r="BK2">
        <v>55</v>
      </c>
      <c r="BL2">
        <v>56</v>
      </c>
      <c r="BM2">
        <v>57</v>
      </c>
      <c r="BN2">
        <v>58</v>
      </c>
      <c r="BO2">
        <v>59</v>
      </c>
      <c r="BP2">
        <v>60</v>
      </c>
      <c r="BQ2">
        <v>61</v>
      </c>
      <c r="BR2">
        <v>62</v>
      </c>
      <c r="BS2">
        <v>63</v>
      </c>
      <c r="BT2">
        <v>64</v>
      </c>
      <c r="BU2">
        <v>65</v>
      </c>
      <c r="BV2">
        <v>66</v>
      </c>
      <c r="BW2">
        <v>67</v>
      </c>
      <c r="BX2">
        <v>68</v>
      </c>
      <c r="BY2">
        <v>69</v>
      </c>
      <c r="BZ2">
        <v>70</v>
      </c>
      <c r="CA2">
        <v>71</v>
      </c>
      <c r="CB2">
        <v>72</v>
      </c>
      <c r="CC2">
        <v>73</v>
      </c>
      <c r="CD2">
        <v>74</v>
      </c>
      <c r="CE2">
        <v>75</v>
      </c>
      <c r="CF2">
        <v>76</v>
      </c>
      <c r="CG2">
        <v>77</v>
      </c>
      <c r="CH2">
        <v>78</v>
      </c>
      <c r="CI2">
        <v>79</v>
      </c>
      <c r="CJ2">
        <v>80</v>
      </c>
      <c r="CK2">
        <v>81</v>
      </c>
      <c r="CL2">
        <v>82</v>
      </c>
      <c r="CM2">
        <v>83</v>
      </c>
      <c r="CN2">
        <v>84</v>
      </c>
      <c r="CO2">
        <v>85</v>
      </c>
      <c r="CP2">
        <v>86</v>
      </c>
      <c r="CQ2">
        <v>87</v>
      </c>
      <c r="CR2">
        <v>88</v>
      </c>
      <c r="CS2">
        <v>89</v>
      </c>
      <c r="CT2">
        <v>90</v>
      </c>
      <c r="CU2">
        <v>91</v>
      </c>
    </row>
    <row r="3" spans="1:101" x14ac:dyDescent="0.25">
      <c r="A3" s="2" t="s">
        <v>44</v>
      </c>
      <c r="B3">
        <v>443</v>
      </c>
      <c r="C3" s="2" t="s">
        <v>45</v>
      </c>
      <c r="E3" t="str" cm="1">
        <f t="array" ref="E3:E20">_xlfn.UNIQUE(endingStock[[ recipient]])</f>
        <v>ValveAssembly</v>
      </c>
      <c r="F3">
        <v>600</v>
      </c>
      <c r="G3" cm="1">
        <f t="array" ref="G3:G20">VLOOKUP(_xlfn.ANCHORARRAY(E3),endingStock[[station]:[ endingStock]],2, FALSE)</f>
        <v>2269</v>
      </c>
      <c r="H3" t="s">
        <v>43</v>
      </c>
      <c r="I3">
        <v>27</v>
      </c>
      <c r="J3">
        <v>55</v>
      </c>
      <c r="K3">
        <v>82</v>
      </c>
      <c r="L3">
        <v>109</v>
      </c>
      <c r="M3">
        <v>137</v>
      </c>
      <c r="N3">
        <v>164</v>
      </c>
      <c r="O3">
        <v>191</v>
      </c>
      <c r="P3">
        <v>219</v>
      </c>
      <c r="Q3">
        <v>246</v>
      </c>
      <c r="R3">
        <v>273</v>
      </c>
      <c r="S3">
        <v>301</v>
      </c>
      <c r="T3">
        <v>328</v>
      </c>
      <c r="U3">
        <v>355</v>
      </c>
      <c r="V3">
        <v>383</v>
      </c>
      <c r="W3">
        <v>410</v>
      </c>
      <c r="X3">
        <v>437</v>
      </c>
      <c r="Y3">
        <v>465</v>
      </c>
      <c r="Z3">
        <v>492</v>
      </c>
      <c r="AA3">
        <v>519</v>
      </c>
      <c r="AB3">
        <v>547</v>
      </c>
      <c r="AC3">
        <v>574</v>
      </c>
      <c r="AD3">
        <v>600</v>
      </c>
      <c r="AE3">
        <v>600</v>
      </c>
      <c r="AF3">
        <v>600</v>
      </c>
      <c r="AG3">
        <v>600</v>
      </c>
      <c r="AH3">
        <v>600</v>
      </c>
      <c r="AI3">
        <v>600</v>
      </c>
      <c r="AJ3">
        <v>600</v>
      </c>
      <c r="AK3">
        <v>600</v>
      </c>
      <c r="AL3">
        <v>600</v>
      </c>
      <c r="AM3">
        <v>600</v>
      </c>
      <c r="AN3">
        <v>600</v>
      </c>
      <c r="AO3">
        <v>600</v>
      </c>
      <c r="AP3">
        <v>600</v>
      </c>
      <c r="AQ3">
        <v>600</v>
      </c>
      <c r="AR3">
        <v>600</v>
      </c>
      <c r="AS3">
        <v>600</v>
      </c>
      <c r="AT3">
        <v>600</v>
      </c>
      <c r="AU3">
        <v>600</v>
      </c>
      <c r="AV3">
        <v>600</v>
      </c>
      <c r="AW3">
        <v>600</v>
      </c>
      <c r="AX3">
        <v>600</v>
      </c>
      <c r="AY3">
        <v>600</v>
      </c>
      <c r="AZ3">
        <v>600</v>
      </c>
      <c r="BA3">
        <v>600</v>
      </c>
      <c r="BB3">
        <v>600</v>
      </c>
      <c r="BC3">
        <v>600</v>
      </c>
      <c r="BD3">
        <v>600</v>
      </c>
      <c r="BE3">
        <v>600</v>
      </c>
      <c r="BF3">
        <v>600</v>
      </c>
      <c r="BG3">
        <v>600</v>
      </c>
      <c r="BH3">
        <v>600</v>
      </c>
      <c r="BI3">
        <v>600</v>
      </c>
      <c r="BJ3">
        <v>600</v>
      </c>
      <c r="BK3">
        <v>600</v>
      </c>
      <c r="BL3">
        <v>600</v>
      </c>
      <c r="BM3">
        <v>600</v>
      </c>
      <c r="BN3">
        <v>600</v>
      </c>
      <c r="BO3">
        <v>600</v>
      </c>
      <c r="BP3">
        <v>600</v>
      </c>
      <c r="BQ3">
        <v>600</v>
      </c>
      <c r="BR3">
        <v>600</v>
      </c>
      <c r="BS3">
        <v>600</v>
      </c>
      <c r="BT3">
        <v>600</v>
      </c>
      <c r="BU3">
        <v>600</v>
      </c>
      <c r="BV3">
        <v>600</v>
      </c>
      <c r="BW3">
        <v>600</v>
      </c>
      <c r="BX3">
        <v>600</v>
      </c>
      <c r="BY3">
        <v>600</v>
      </c>
      <c r="BZ3">
        <v>600</v>
      </c>
      <c r="CA3">
        <v>600</v>
      </c>
      <c r="CB3">
        <v>600</v>
      </c>
      <c r="CC3">
        <v>600</v>
      </c>
      <c r="CD3">
        <v>600</v>
      </c>
      <c r="CE3">
        <v>600</v>
      </c>
      <c r="CW3">
        <v>60</v>
      </c>
    </row>
    <row r="4" spans="1:101" x14ac:dyDescent="0.25">
      <c r="A4" s="2" t="s">
        <v>46</v>
      </c>
      <c r="B4">
        <v>0</v>
      </c>
      <c r="C4" s="2" t="s">
        <v>43</v>
      </c>
      <c r="E4" t="str">
        <v>BodyAssembly</v>
      </c>
      <c r="F4">
        <v>600</v>
      </c>
      <c r="G4">
        <v>111</v>
      </c>
      <c r="H4" t="s">
        <v>45</v>
      </c>
      <c r="I4">
        <v>29</v>
      </c>
      <c r="J4">
        <v>56</v>
      </c>
      <c r="K4">
        <v>83</v>
      </c>
      <c r="L4">
        <v>111</v>
      </c>
      <c r="M4">
        <v>139</v>
      </c>
      <c r="N4">
        <v>166</v>
      </c>
      <c r="O4">
        <v>194</v>
      </c>
      <c r="P4">
        <v>222</v>
      </c>
      <c r="Q4">
        <v>249</v>
      </c>
      <c r="R4">
        <v>277</v>
      </c>
      <c r="S4">
        <v>305</v>
      </c>
      <c r="T4">
        <v>332</v>
      </c>
      <c r="U4">
        <v>360</v>
      </c>
      <c r="V4">
        <v>388</v>
      </c>
      <c r="W4">
        <v>415</v>
      </c>
      <c r="X4">
        <v>443</v>
      </c>
      <c r="Y4">
        <v>471</v>
      </c>
      <c r="Z4">
        <v>498</v>
      </c>
      <c r="AA4">
        <v>526</v>
      </c>
      <c r="AB4">
        <v>554</v>
      </c>
      <c r="AC4">
        <v>581</v>
      </c>
      <c r="AD4">
        <v>600</v>
      </c>
      <c r="AE4">
        <v>600</v>
      </c>
      <c r="AF4">
        <v>600</v>
      </c>
      <c r="AG4">
        <v>600</v>
      </c>
      <c r="AH4">
        <v>600</v>
      </c>
      <c r="AI4">
        <v>600</v>
      </c>
      <c r="AJ4">
        <v>600</v>
      </c>
      <c r="AK4">
        <v>600</v>
      </c>
      <c r="AL4">
        <v>600</v>
      </c>
      <c r="AM4">
        <v>600</v>
      </c>
      <c r="AN4">
        <v>600</v>
      </c>
      <c r="AO4">
        <v>600</v>
      </c>
      <c r="AP4">
        <v>600</v>
      </c>
      <c r="AQ4">
        <v>600</v>
      </c>
      <c r="AR4">
        <v>600</v>
      </c>
      <c r="AS4">
        <v>600</v>
      </c>
      <c r="AT4">
        <v>600</v>
      </c>
      <c r="AU4">
        <v>600</v>
      </c>
      <c r="AV4">
        <v>600</v>
      </c>
      <c r="AW4">
        <v>600</v>
      </c>
      <c r="AX4">
        <v>600</v>
      </c>
      <c r="AY4">
        <v>600</v>
      </c>
      <c r="AZ4">
        <v>600</v>
      </c>
      <c r="BA4">
        <v>600</v>
      </c>
      <c r="BB4">
        <v>600</v>
      </c>
      <c r="BC4">
        <v>600</v>
      </c>
      <c r="BD4">
        <v>600</v>
      </c>
      <c r="BE4">
        <v>600</v>
      </c>
      <c r="BF4">
        <v>600</v>
      </c>
      <c r="BG4">
        <v>600</v>
      </c>
      <c r="BH4">
        <v>600</v>
      </c>
      <c r="BI4">
        <v>600</v>
      </c>
      <c r="BJ4">
        <v>600</v>
      </c>
      <c r="BK4">
        <v>600</v>
      </c>
      <c r="BL4">
        <v>600</v>
      </c>
      <c r="BM4">
        <v>600</v>
      </c>
      <c r="BN4">
        <v>600</v>
      </c>
      <c r="BO4">
        <v>600</v>
      </c>
      <c r="BP4">
        <v>600</v>
      </c>
      <c r="BQ4">
        <v>600</v>
      </c>
      <c r="BR4">
        <v>600</v>
      </c>
      <c r="BS4">
        <v>600</v>
      </c>
      <c r="BT4">
        <v>600</v>
      </c>
      <c r="BU4">
        <v>600</v>
      </c>
      <c r="BV4">
        <v>600</v>
      </c>
      <c r="BW4">
        <v>600</v>
      </c>
      <c r="BX4">
        <v>600</v>
      </c>
      <c r="BY4">
        <v>600</v>
      </c>
      <c r="BZ4">
        <v>600</v>
      </c>
      <c r="CA4">
        <v>600</v>
      </c>
      <c r="CB4">
        <v>600</v>
      </c>
      <c r="CC4">
        <v>600</v>
      </c>
      <c r="CD4">
        <v>600</v>
      </c>
      <c r="CE4">
        <v>600</v>
      </c>
      <c r="CW4">
        <v>60</v>
      </c>
    </row>
    <row r="5" spans="1:101" x14ac:dyDescent="0.25">
      <c r="A5" s="2" t="s">
        <v>47</v>
      </c>
      <c r="B5">
        <v>0</v>
      </c>
      <c r="C5" s="2" t="s">
        <v>43</v>
      </c>
      <c r="E5" t="str">
        <v>ValveFunctionalTest</v>
      </c>
      <c r="F5">
        <v>600</v>
      </c>
      <c r="G5">
        <v>1</v>
      </c>
      <c r="H5" t="s">
        <v>48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W5">
        <v>0</v>
      </c>
    </row>
    <row r="6" spans="1:101" x14ac:dyDescent="0.25">
      <c r="A6" s="2" t="s">
        <v>45</v>
      </c>
      <c r="B6">
        <v>111</v>
      </c>
      <c r="C6" s="2" t="s">
        <v>43</v>
      </c>
      <c r="E6" t="str">
        <v>Testbench</v>
      </c>
      <c r="F6">
        <v>5</v>
      </c>
      <c r="G6">
        <v>0</v>
      </c>
      <c r="H6" t="s">
        <v>21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W6">
        <v>0</v>
      </c>
    </row>
    <row r="7" spans="1:101" x14ac:dyDescent="0.25">
      <c r="A7" s="2" t="s">
        <v>43</v>
      </c>
      <c r="B7">
        <v>2269</v>
      </c>
      <c r="C7" s="2" t="s">
        <v>48</v>
      </c>
      <c r="E7" t="str">
        <v>ElectronicsPreparation</v>
      </c>
      <c r="F7">
        <v>600</v>
      </c>
      <c r="G7">
        <v>71</v>
      </c>
      <c r="H7" t="s">
        <v>49</v>
      </c>
      <c r="I7">
        <v>71</v>
      </c>
      <c r="J7">
        <v>72</v>
      </c>
      <c r="K7">
        <v>72</v>
      </c>
      <c r="L7">
        <v>71</v>
      </c>
      <c r="M7">
        <v>73</v>
      </c>
      <c r="N7">
        <v>73</v>
      </c>
      <c r="O7">
        <v>72</v>
      </c>
      <c r="P7">
        <v>74</v>
      </c>
      <c r="Q7">
        <v>74</v>
      </c>
      <c r="R7">
        <v>73</v>
      </c>
      <c r="S7">
        <v>75</v>
      </c>
      <c r="T7">
        <v>75</v>
      </c>
      <c r="U7">
        <v>74</v>
      </c>
      <c r="V7">
        <v>76</v>
      </c>
      <c r="W7">
        <v>76</v>
      </c>
      <c r="X7">
        <v>75</v>
      </c>
      <c r="Y7">
        <v>77</v>
      </c>
      <c r="Z7">
        <v>77</v>
      </c>
      <c r="AA7">
        <v>76</v>
      </c>
      <c r="AB7">
        <v>78</v>
      </c>
      <c r="AC7">
        <v>78</v>
      </c>
      <c r="AD7">
        <v>77</v>
      </c>
      <c r="AE7">
        <v>79</v>
      </c>
      <c r="AF7">
        <v>79</v>
      </c>
      <c r="AG7">
        <v>78</v>
      </c>
      <c r="AH7">
        <v>80</v>
      </c>
      <c r="AI7">
        <v>80</v>
      </c>
      <c r="AJ7">
        <v>79</v>
      </c>
      <c r="AK7">
        <v>81</v>
      </c>
      <c r="AL7">
        <v>81</v>
      </c>
      <c r="AM7">
        <v>80</v>
      </c>
      <c r="AN7">
        <v>82</v>
      </c>
      <c r="AO7">
        <v>82</v>
      </c>
      <c r="AP7">
        <v>81</v>
      </c>
      <c r="AQ7">
        <v>83</v>
      </c>
      <c r="AR7">
        <v>83</v>
      </c>
      <c r="AS7">
        <v>82</v>
      </c>
      <c r="AT7">
        <v>84</v>
      </c>
      <c r="AU7">
        <v>84</v>
      </c>
      <c r="AV7">
        <v>83</v>
      </c>
      <c r="AW7">
        <v>85</v>
      </c>
      <c r="AX7">
        <v>85</v>
      </c>
      <c r="AY7">
        <v>84</v>
      </c>
      <c r="AZ7">
        <v>86</v>
      </c>
      <c r="BA7">
        <v>86</v>
      </c>
      <c r="BB7">
        <v>85</v>
      </c>
      <c r="BC7">
        <v>87</v>
      </c>
      <c r="BD7">
        <v>87</v>
      </c>
      <c r="BE7">
        <v>86</v>
      </c>
      <c r="BF7">
        <v>88</v>
      </c>
      <c r="BG7">
        <v>88</v>
      </c>
      <c r="BH7">
        <v>87</v>
      </c>
      <c r="BI7">
        <v>89</v>
      </c>
      <c r="BJ7">
        <v>89</v>
      </c>
      <c r="BK7">
        <v>88</v>
      </c>
      <c r="BL7">
        <v>90</v>
      </c>
      <c r="BM7">
        <v>90</v>
      </c>
      <c r="BN7">
        <v>89</v>
      </c>
      <c r="BO7">
        <v>91</v>
      </c>
      <c r="BP7">
        <v>91</v>
      </c>
      <c r="BQ7">
        <v>90</v>
      </c>
      <c r="BR7">
        <v>92</v>
      </c>
      <c r="BS7">
        <v>92</v>
      </c>
      <c r="BT7">
        <v>91</v>
      </c>
      <c r="BU7">
        <v>93</v>
      </c>
      <c r="BV7">
        <v>93</v>
      </c>
      <c r="BW7">
        <v>92</v>
      </c>
      <c r="BX7">
        <v>94</v>
      </c>
      <c r="BY7">
        <v>94</v>
      </c>
      <c r="BZ7">
        <v>93</v>
      </c>
      <c r="CA7">
        <v>95</v>
      </c>
      <c r="CB7">
        <v>95</v>
      </c>
      <c r="CC7">
        <v>94</v>
      </c>
      <c r="CD7">
        <v>96</v>
      </c>
      <c r="CE7">
        <v>96</v>
      </c>
      <c r="CW7">
        <v>75</v>
      </c>
    </row>
    <row r="8" spans="1:101" x14ac:dyDescent="0.25">
      <c r="A8" s="2" t="s">
        <v>48</v>
      </c>
      <c r="B8">
        <v>1</v>
      </c>
      <c r="C8" s="2" t="s">
        <v>21</v>
      </c>
      <c r="E8" t="str">
        <v>ElectronicsSoldering</v>
      </c>
      <c r="F8">
        <v>600</v>
      </c>
      <c r="G8">
        <v>0</v>
      </c>
      <c r="H8" t="s">
        <v>50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1</v>
      </c>
      <c r="W8">
        <v>0</v>
      </c>
      <c r="X8">
        <v>0</v>
      </c>
      <c r="Y8">
        <v>1</v>
      </c>
      <c r="Z8">
        <v>0</v>
      </c>
      <c r="AA8">
        <v>0</v>
      </c>
      <c r="AB8">
        <v>1</v>
      </c>
      <c r="AC8">
        <v>0</v>
      </c>
      <c r="AD8">
        <v>0</v>
      </c>
      <c r="AE8">
        <v>1</v>
      </c>
      <c r="AF8">
        <v>0</v>
      </c>
      <c r="AG8">
        <v>0</v>
      </c>
      <c r="AH8">
        <v>1</v>
      </c>
      <c r="AI8">
        <v>0</v>
      </c>
      <c r="AJ8">
        <v>0</v>
      </c>
      <c r="AK8">
        <v>1</v>
      </c>
      <c r="AL8">
        <v>0</v>
      </c>
      <c r="AM8">
        <v>0</v>
      </c>
      <c r="AN8">
        <v>1</v>
      </c>
      <c r="AO8">
        <v>0</v>
      </c>
      <c r="AP8">
        <v>0</v>
      </c>
      <c r="AQ8">
        <v>1</v>
      </c>
      <c r="AR8">
        <v>0</v>
      </c>
      <c r="AS8">
        <v>0</v>
      </c>
      <c r="AT8">
        <v>1</v>
      </c>
      <c r="AU8">
        <v>0</v>
      </c>
      <c r="AV8">
        <v>0</v>
      </c>
      <c r="AW8">
        <v>1</v>
      </c>
      <c r="AX8">
        <v>0</v>
      </c>
      <c r="AY8">
        <v>0</v>
      </c>
      <c r="AZ8">
        <v>1</v>
      </c>
      <c r="BA8">
        <v>0</v>
      </c>
      <c r="BB8">
        <v>0</v>
      </c>
      <c r="BC8">
        <v>1</v>
      </c>
      <c r="BD8">
        <v>0</v>
      </c>
      <c r="BE8">
        <v>0</v>
      </c>
      <c r="BF8">
        <v>1</v>
      </c>
      <c r="BG8">
        <v>0</v>
      </c>
      <c r="BH8">
        <v>0</v>
      </c>
      <c r="BI8">
        <v>1</v>
      </c>
      <c r="BJ8">
        <v>0</v>
      </c>
      <c r="BK8">
        <v>0</v>
      </c>
      <c r="BL8">
        <v>1</v>
      </c>
      <c r="BM8">
        <v>0</v>
      </c>
      <c r="BN8">
        <v>0</v>
      </c>
      <c r="BO8">
        <v>1</v>
      </c>
      <c r="BP8">
        <v>0</v>
      </c>
      <c r="BQ8">
        <v>0</v>
      </c>
      <c r="BR8">
        <v>1</v>
      </c>
      <c r="BS8">
        <v>0</v>
      </c>
      <c r="BT8">
        <v>0</v>
      </c>
      <c r="BU8">
        <v>1</v>
      </c>
      <c r="BV8">
        <v>0</v>
      </c>
      <c r="BW8">
        <v>0</v>
      </c>
      <c r="BX8">
        <v>1</v>
      </c>
      <c r="BY8">
        <v>0</v>
      </c>
      <c r="BZ8">
        <v>0</v>
      </c>
      <c r="CA8">
        <v>1</v>
      </c>
      <c r="CB8">
        <v>0</v>
      </c>
      <c r="CC8">
        <v>0</v>
      </c>
      <c r="CD8">
        <v>1</v>
      </c>
      <c r="CE8">
        <v>0</v>
      </c>
      <c r="CW8">
        <v>0</v>
      </c>
    </row>
    <row r="9" spans="1:101" x14ac:dyDescent="0.25">
      <c r="A9" s="2" t="s">
        <v>21</v>
      </c>
      <c r="B9">
        <v>0</v>
      </c>
      <c r="C9" s="2" t="s">
        <v>49</v>
      </c>
      <c r="E9" t="str">
        <v>PowerConsumption</v>
      </c>
      <c r="F9">
        <v>600</v>
      </c>
      <c r="G9">
        <v>0</v>
      </c>
      <c r="H9" t="s">
        <v>51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W9">
        <v>0</v>
      </c>
    </row>
    <row r="10" spans="1:101" x14ac:dyDescent="0.25">
      <c r="A10" s="2" t="s">
        <v>49</v>
      </c>
      <c r="B10">
        <v>71</v>
      </c>
      <c r="C10" s="2" t="s">
        <v>50</v>
      </c>
      <c r="E10" t="str">
        <v>ElectronicsNIDA</v>
      </c>
      <c r="F10">
        <v>600</v>
      </c>
      <c r="G10">
        <v>0</v>
      </c>
      <c r="H10" t="s">
        <v>54</v>
      </c>
      <c r="I10">
        <v>0</v>
      </c>
      <c r="J10">
        <v>0</v>
      </c>
      <c r="K10">
        <v>1</v>
      </c>
      <c r="L10">
        <v>0</v>
      </c>
      <c r="M10">
        <v>0</v>
      </c>
      <c r="N10">
        <v>1</v>
      </c>
      <c r="O10">
        <v>0</v>
      </c>
      <c r="P10">
        <v>0</v>
      </c>
      <c r="Q10">
        <v>1</v>
      </c>
      <c r="R10">
        <v>0</v>
      </c>
      <c r="S10">
        <v>0</v>
      </c>
      <c r="T10">
        <v>1</v>
      </c>
      <c r="U10">
        <v>0</v>
      </c>
      <c r="V10">
        <v>0</v>
      </c>
      <c r="W10">
        <v>1</v>
      </c>
      <c r="X10">
        <v>0</v>
      </c>
      <c r="Y10">
        <v>0</v>
      </c>
      <c r="Z10">
        <v>1</v>
      </c>
      <c r="AA10">
        <v>0</v>
      </c>
      <c r="AB10">
        <v>0</v>
      </c>
      <c r="AC10">
        <v>1</v>
      </c>
      <c r="AD10">
        <v>0</v>
      </c>
      <c r="AE10">
        <v>0</v>
      </c>
      <c r="AF10">
        <v>1</v>
      </c>
      <c r="AG10">
        <v>0</v>
      </c>
      <c r="AH10">
        <v>0</v>
      </c>
      <c r="AI10">
        <v>1</v>
      </c>
      <c r="AJ10">
        <v>0</v>
      </c>
      <c r="AK10">
        <v>0</v>
      </c>
      <c r="AL10">
        <v>1</v>
      </c>
      <c r="AM10">
        <v>0</v>
      </c>
      <c r="AN10">
        <v>0</v>
      </c>
      <c r="AO10">
        <v>1</v>
      </c>
      <c r="AP10">
        <v>0</v>
      </c>
      <c r="AQ10">
        <v>0</v>
      </c>
      <c r="AR10">
        <v>1</v>
      </c>
      <c r="AS10">
        <v>0</v>
      </c>
      <c r="AT10">
        <v>0</v>
      </c>
      <c r="AU10">
        <v>1</v>
      </c>
      <c r="AV10">
        <v>0</v>
      </c>
      <c r="AW10">
        <v>0</v>
      </c>
      <c r="AX10">
        <v>1</v>
      </c>
      <c r="AY10">
        <v>0</v>
      </c>
      <c r="AZ10">
        <v>0</v>
      </c>
      <c r="BA10">
        <v>1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1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1</v>
      </c>
      <c r="BN10">
        <v>0</v>
      </c>
      <c r="BO10">
        <v>0</v>
      </c>
      <c r="BP10">
        <v>1</v>
      </c>
      <c r="BQ10">
        <v>0</v>
      </c>
      <c r="BR10">
        <v>0</v>
      </c>
      <c r="BS10">
        <v>1</v>
      </c>
      <c r="BT10">
        <v>0</v>
      </c>
      <c r="BU10">
        <v>0</v>
      </c>
      <c r="BV10">
        <v>1</v>
      </c>
      <c r="BW10">
        <v>0</v>
      </c>
      <c r="BX10">
        <v>0</v>
      </c>
      <c r="BY10">
        <v>1</v>
      </c>
      <c r="BZ10">
        <v>0</v>
      </c>
      <c r="CA10">
        <v>0</v>
      </c>
      <c r="CB10">
        <v>1</v>
      </c>
      <c r="CC10">
        <v>0</v>
      </c>
      <c r="CD10">
        <v>0</v>
      </c>
      <c r="CE10">
        <v>1</v>
      </c>
      <c r="CW10">
        <v>0</v>
      </c>
    </row>
    <row r="11" spans="1:101" x14ac:dyDescent="0.25">
      <c r="A11" s="2" t="s">
        <v>50</v>
      </c>
      <c r="B11">
        <v>0</v>
      </c>
      <c r="C11" s="2" t="s">
        <v>51</v>
      </c>
      <c r="E11" t="str">
        <v>ClipInsertion</v>
      </c>
      <c r="F11">
        <v>600</v>
      </c>
      <c r="G11">
        <v>1</v>
      </c>
      <c r="H11" t="s">
        <v>55</v>
      </c>
      <c r="I11">
        <v>1</v>
      </c>
      <c r="J11">
        <v>1</v>
      </c>
      <c r="K11">
        <v>0</v>
      </c>
      <c r="L11">
        <v>1</v>
      </c>
      <c r="M11">
        <v>1</v>
      </c>
      <c r="N11">
        <v>0</v>
      </c>
      <c r="O11">
        <v>1</v>
      </c>
      <c r="P11">
        <v>1</v>
      </c>
      <c r="Q11">
        <v>0</v>
      </c>
      <c r="R11">
        <v>1</v>
      </c>
      <c r="S11">
        <v>1</v>
      </c>
      <c r="T11">
        <v>0</v>
      </c>
      <c r="U11">
        <v>1</v>
      </c>
      <c r="V11">
        <v>1</v>
      </c>
      <c r="W11">
        <v>0</v>
      </c>
      <c r="X11">
        <v>1</v>
      </c>
      <c r="Y11">
        <v>1</v>
      </c>
      <c r="Z11">
        <v>0</v>
      </c>
      <c r="AA11">
        <v>1</v>
      </c>
      <c r="AB11">
        <v>1</v>
      </c>
      <c r="AC11">
        <v>0</v>
      </c>
      <c r="AD11">
        <v>1</v>
      </c>
      <c r="AE11">
        <v>1</v>
      </c>
      <c r="AF11">
        <v>0</v>
      </c>
      <c r="AG11">
        <v>1</v>
      </c>
      <c r="AH11">
        <v>1</v>
      </c>
      <c r="AI11">
        <v>0</v>
      </c>
      <c r="AJ11">
        <v>1</v>
      </c>
      <c r="AK11">
        <v>1</v>
      </c>
      <c r="AL11">
        <v>0</v>
      </c>
      <c r="AM11">
        <v>1</v>
      </c>
      <c r="AN11">
        <v>1</v>
      </c>
      <c r="AO11">
        <v>0</v>
      </c>
      <c r="AP11">
        <v>1</v>
      </c>
      <c r="AQ11">
        <v>1</v>
      </c>
      <c r="AR11">
        <v>0</v>
      </c>
      <c r="AS11">
        <v>1</v>
      </c>
      <c r="AT11">
        <v>1</v>
      </c>
      <c r="AU11">
        <v>0</v>
      </c>
      <c r="AV11">
        <v>1</v>
      </c>
      <c r="AW11">
        <v>1</v>
      </c>
      <c r="AX11">
        <v>0</v>
      </c>
      <c r="AY11">
        <v>1</v>
      </c>
      <c r="AZ11">
        <v>1</v>
      </c>
      <c r="BA11">
        <v>0</v>
      </c>
      <c r="BB11">
        <v>1</v>
      </c>
      <c r="BC11">
        <v>1</v>
      </c>
      <c r="BD11">
        <v>0</v>
      </c>
      <c r="BE11">
        <v>1</v>
      </c>
      <c r="BF11">
        <v>1</v>
      </c>
      <c r="BG11">
        <v>0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0</v>
      </c>
      <c r="BN11">
        <v>1</v>
      </c>
      <c r="BO11">
        <v>1</v>
      </c>
      <c r="BP11">
        <v>0</v>
      </c>
      <c r="BQ11">
        <v>1</v>
      </c>
      <c r="BR11">
        <v>1</v>
      </c>
      <c r="BS11">
        <v>0</v>
      </c>
      <c r="BT11">
        <v>1</v>
      </c>
      <c r="BU11">
        <v>1</v>
      </c>
      <c r="BV11">
        <v>0</v>
      </c>
      <c r="BW11">
        <v>1</v>
      </c>
      <c r="BX11">
        <v>1</v>
      </c>
      <c r="BY11">
        <v>0</v>
      </c>
      <c r="BZ11">
        <v>1</v>
      </c>
      <c r="CA11">
        <v>1</v>
      </c>
      <c r="CB11">
        <v>0</v>
      </c>
      <c r="CC11">
        <v>1</v>
      </c>
      <c r="CD11">
        <v>1</v>
      </c>
      <c r="CE11">
        <v>0</v>
      </c>
      <c r="CW11">
        <v>0</v>
      </c>
    </row>
    <row r="12" spans="1:101" x14ac:dyDescent="0.25">
      <c r="A12" s="2" t="s">
        <v>52</v>
      </c>
      <c r="B12">
        <v>536</v>
      </c>
      <c r="C12" s="2" t="s">
        <v>49</v>
      </c>
      <c r="E12" t="str">
        <v>CoverAssembly</v>
      </c>
      <c r="F12">
        <v>600</v>
      </c>
      <c r="G12">
        <v>121</v>
      </c>
      <c r="H12" t="s">
        <v>56</v>
      </c>
      <c r="I12">
        <v>15</v>
      </c>
      <c r="J12">
        <v>49</v>
      </c>
      <c r="K12">
        <v>85</v>
      </c>
      <c r="L12">
        <v>121</v>
      </c>
      <c r="M12">
        <v>153</v>
      </c>
      <c r="N12">
        <v>189</v>
      </c>
      <c r="O12">
        <v>225</v>
      </c>
      <c r="P12">
        <v>257</v>
      </c>
      <c r="Q12">
        <v>293</v>
      </c>
      <c r="R12">
        <v>329</v>
      </c>
      <c r="S12">
        <v>361</v>
      </c>
      <c r="T12">
        <v>397</v>
      </c>
      <c r="U12">
        <v>433</v>
      </c>
      <c r="V12">
        <v>465</v>
      </c>
      <c r="W12">
        <v>501</v>
      </c>
      <c r="X12">
        <v>537</v>
      </c>
      <c r="Y12">
        <v>569</v>
      </c>
      <c r="Z12">
        <v>600</v>
      </c>
      <c r="AA12">
        <v>600</v>
      </c>
      <c r="AB12">
        <v>600</v>
      </c>
      <c r="AC12">
        <v>600</v>
      </c>
      <c r="AD12">
        <v>600</v>
      </c>
      <c r="AE12">
        <v>600</v>
      </c>
      <c r="AF12">
        <v>600</v>
      </c>
      <c r="AG12">
        <v>600</v>
      </c>
      <c r="AH12">
        <v>600</v>
      </c>
      <c r="AI12">
        <v>600</v>
      </c>
      <c r="AJ12">
        <v>600</v>
      </c>
      <c r="AK12">
        <v>600</v>
      </c>
      <c r="AL12">
        <v>600</v>
      </c>
      <c r="AM12">
        <v>600</v>
      </c>
      <c r="AN12">
        <v>600</v>
      </c>
      <c r="AO12">
        <v>600</v>
      </c>
      <c r="AP12">
        <v>600</v>
      </c>
      <c r="AQ12">
        <v>600</v>
      </c>
      <c r="AR12">
        <v>600</v>
      </c>
      <c r="AS12">
        <v>600</v>
      </c>
      <c r="AT12">
        <v>600</v>
      </c>
      <c r="AU12">
        <v>600</v>
      </c>
      <c r="AV12">
        <v>600</v>
      </c>
      <c r="AW12">
        <v>600</v>
      </c>
      <c r="AX12">
        <v>600</v>
      </c>
      <c r="AY12">
        <v>600</v>
      </c>
      <c r="AZ12">
        <v>600</v>
      </c>
      <c r="BA12">
        <v>600</v>
      </c>
      <c r="BB12">
        <v>600</v>
      </c>
      <c r="BC12">
        <v>600</v>
      </c>
      <c r="BD12">
        <v>600</v>
      </c>
      <c r="BE12">
        <v>600</v>
      </c>
      <c r="BF12">
        <v>600</v>
      </c>
      <c r="BG12">
        <v>600</v>
      </c>
      <c r="BH12">
        <v>600</v>
      </c>
      <c r="BI12">
        <v>600</v>
      </c>
      <c r="BJ12">
        <v>600</v>
      </c>
      <c r="BK12">
        <v>600</v>
      </c>
      <c r="BL12">
        <v>600</v>
      </c>
      <c r="BM12">
        <v>600</v>
      </c>
      <c r="BN12">
        <v>600</v>
      </c>
      <c r="BO12">
        <v>600</v>
      </c>
      <c r="BP12">
        <v>600</v>
      </c>
      <c r="BQ12">
        <v>600</v>
      </c>
      <c r="BR12">
        <v>600</v>
      </c>
      <c r="BS12">
        <v>600</v>
      </c>
      <c r="BT12">
        <v>600</v>
      </c>
      <c r="BU12">
        <v>600</v>
      </c>
      <c r="BV12">
        <v>600</v>
      </c>
      <c r="BW12">
        <v>600</v>
      </c>
      <c r="BX12">
        <v>600</v>
      </c>
      <c r="BY12">
        <v>600</v>
      </c>
      <c r="BZ12">
        <v>600</v>
      </c>
      <c r="CA12">
        <v>600</v>
      </c>
      <c r="CB12">
        <v>600</v>
      </c>
      <c r="CC12">
        <v>600</v>
      </c>
      <c r="CD12">
        <v>600</v>
      </c>
      <c r="CE12">
        <v>600</v>
      </c>
      <c r="CW12">
        <v>50</v>
      </c>
    </row>
    <row r="13" spans="1:101" x14ac:dyDescent="0.25">
      <c r="A13" s="2" t="s">
        <v>53</v>
      </c>
      <c r="B13">
        <v>217</v>
      </c>
      <c r="C13" s="2" t="s">
        <v>49</v>
      </c>
      <c r="E13" t="str">
        <v>MetertoManifold</v>
      </c>
      <c r="F13">
        <v>600</v>
      </c>
      <c r="G13">
        <v>0</v>
      </c>
      <c r="H13" t="s">
        <v>57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W13">
        <v>0</v>
      </c>
    </row>
    <row r="14" spans="1:101" x14ac:dyDescent="0.25">
      <c r="A14" s="2" t="s">
        <v>51</v>
      </c>
      <c r="B14">
        <v>0</v>
      </c>
      <c r="C14" s="2" t="s">
        <v>54</v>
      </c>
      <c r="E14" t="str">
        <v>ManifoldPressureTest</v>
      </c>
      <c r="F14">
        <v>600</v>
      </c>
      <c r="G14">
        <v>0</v>
      </c>
      <c r="H14" t="s">
        <v>58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W14">
        <v>0</v>
      </c>
    </row>
    <row r="15" spans="1:101" x14ac:dyDescent="0.25">
      <c r="A15" s="2" t="s">
        <v>54</v>
      </c>
      <c r="B15">
        <v>0</v>
      </c>
      <c r="C15" s="2" t="s">
        <v>55</v>
      </c>
      <c r="E15" t="str">
        <v>ManifoldAssembly</v>
      </c>
      <c r="F15">
        <v>600</v>
      </c>
      <c r="G15">
        <v>900</v>
      </c>
      <c r="H15" t="s">
        <v>60</v>
      </c>
      <c r="I15">
        <v>300</v>
      </c>
      <c r="J15">
        <v>600</v>
      </c>
      <c r="K15">
        <v>600</v>
      </c>
      <c r="L15">
        <v>600</v>
      </c>
      <c r="M15">
        <v>600</v>
      </c>
      <c r="N15">
        <v>600</v>
      </c>
      <c r="O15">
        <v>600</v>
      </c>
      <c r="P15">
        <v>600</v>
      </c>
      <c r="Q15">
        <v>600</v>
      </c>
      <c r="R15">
        <v>600</v>
      </c>
      <c r="S15">
        <v>600</v>
      </c>
      <c r="T15">
        <v>600</v>
      </c>
      <c r="U15">
        <v>600</v>
      </c>
      <c r="V15">
        <v>600</v>
      </c>
      <c r="W15">
        <v>600</v>
      </c>
      <c r="X15">
        <v>600</v>
      </c>
      <c r="Y15">
        <v>600</v>
      </c>
      <c r="Z15">
        <v>600</v>
      </c>
      <c r="AA15">
        <v>600</v>
      </c>
      <c r="AB15">
        <v>600</v>
      </c>
      <c r="AC15">
        <v>600</v>
      </c>
      <c r="AD15">
        <v>600</v>
      </c>
      <c r="AE15">
        <v>600</v>
      </c>
      <c r="AF15">
        <v>600</v>
      </c>
      <c r="AG15">
        <v>600</v>
      </c>
      <c r="AH15">
        <v>600</v>
      </c>
      <c r="AI15">
        <v>600</v>
      </c>
      <c r="AJ15">
        <v>600</v>
      </c>
      <c r="AK15">
        <v>600</v>
      </c>
      <c r="AL15">
        <v>600</v>
      </c>
      <c r="AM15">
        <v>600</v>
      </c>
      <c r="AN15">
        <v>600</v>
      </c>
      <c r="AO15">
        <v>600</v>
      </c>
      <c r="AP15">
        <v>600</v>
      </c>
      <c r="AQ15">
        <v>600</v>
      </c>
      <c r="AR15">
        <v>600</v>
      </c>
      <c r="AS15">
        <v>600</v>
      </c>
      <c r="AT15">
        <v>600</v>
      </c>
      <c r="AU15">
        <v>600</v>
      </c>
      <c r="AV15">
        <v>600</v>
      </c>
      <c r="AW15">
        <v>600</v>
      </c>
      <c r="AX15">
        <v>600</v>
      </c>
      <c r="AY15">
        <v>600</v>
      </c>
      <c r="AZ15">
        <v>600</v>
      </c>
      <c r="BA15">
        <v>600</v>
      </c>
      <c r="BB15">
        <v>600</v>
      </c>
      <c r="BC15">
        <v>600</v>
      </c>
      <c r="BD15">
        <v>600</v>
      </c>
      <c r="BE15">
        <v>600</v>
      </c>
      <c r="BF15">
        <v>600</v>
      </c>
      <c r="BG15">
        <v>600</v>
      </c>
      <c r="BH15">
        <v>600</v>
      </c>
      <c r="BI15">
        <v>600</v>
      </c>
      <c r="BJ15">
        <v>600</v>
      </c>
      <c r="BK15">
        <v>600</v>
      </c>
      <c r="BL15">
        <v>600</v>
      </c>
      <c r="BM15">
        <v>600</v>
      </c>
      <c r="BN15">
        <v>600</v>
      </c>
      <c r="BO15">
        <v>600</v>
      </c>
      <c r="BP15">
        <v>600</v>
      </c>
      <c r="BQ15">
        <v>600</v>
      </c>
      <c r="BR15">
        <v>600</v>
      </c>
      <c r="BS15">
        <v>600</v>
      </c>
      <c r="BT15">
        <v>600</v>
      </c>
      <c r="BU15">
        <v>600</v>
      </c>
      <c r="BV15">
        <v>600</v>
      </c>
      <c r="BW15">
        <v>600</v>
      </c>
      <c r="BX15">
        <v>600</v>
      </c>
      <c r="BY15">
        <v>600</v>
      </c>
      <c r="BZ15">
        <v>600</v>
      </c>
      <c r="CA15">
        <v>600</v>
      </c>
      <c r="CB15">
        <v>600</v>
      </c>
      <c r="CC15">
        <v>600</v>
      </c>
      <c r="CD15">
        <v>600</v>
      </c>
      <c r="CE15">
        <v>600</v>
      </c>
      <c r="CW15">
        <v>600</v>
      </c>
    </row>
    <row r="16" spans="1:101" x14ac:dyDescent="0.25">
      <c r="A16" s="2" t="s">
        <v>55</v>
      </c>
      <c r="B16">
        <v>1</v>
      </c>
      <c r="C16" s="2" t="s">
        <v>56</v>
      </c>
      <c r="E16" t="str">
        <v>ManifoldtoBox</v>
      </c>
      <c r="F16">
        <v>600</v>
      </c>
      <c r="G16">
        <v>0</v>
      </c>
      <c r="H16" t="s">
        <v>61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W16">
        <v>0</v>
      </c>
    </row>
    <row r="17" spans="1:101" x14ac:dyDescent="0.25">
      <c r="A17" s="2" t="s">
        <v>56</v>
      </c>
      <c r="B17">
        <v>121</v>
      </c>
      <c r="C17" s="2" t="s">
        <v>57</v>
      </c>
      <c r="E17" t="str">
        <v>Shipping</v>
      </c>
      <c r="F17">
        <v>0</v>
      </c>
      <c r="G17">
        <v>1</v>
      </c>
      <c r="H17" t="s">
        <v>36</v>
      </c>
      <c r="I17">
        <v>0</v>
      </c>
      <c r="J17">
        <v>1</v>
      </c>
      <c r="K17">
        <v>0</v>
      </c>
      <c r="L17">
        <v>1</v>
      </c>
      <c r="M17">
        <v>1</v>
      </c>
      <c r="N17">
        <v>0</v>
      </c>
      <c r="O17">
        <v>1</v>
      </c>
      <c r="P17">
        <v>1</v>
      </c>
      <c r="Q17">
        <v>0</v>
      </c>
      <c r="R17">
        <v>1</v>
      </c>
      <c r="S17">
        <v>1</v>
      </c>
      <c r="T17">
        <v>0</v>
      </c>
      <c r="U17">
        <v>1</v>
      </c>
      <c r="V17">
        <v>1</v>
      </c>
      <c r="W17">
        <v>0</v>
      </c>
      <c r="X17">
        <v>1</v>
      </c>
      <c r="Y17">
        <v>1</v>
      </c>
      <c r="Z17">
        <v>0</v>
      </c>
      <c r="AA17">
        <v>1</v>
      </c>
      <c r="AB17">
        <v>1</v>
      </c>
      <c r="AC17">
        <v>0</v>
      </c>
      <c r="AD17">
        <v>1</v>
      </c>
      <c r="AE17">
        <v>1</v>
      </c>
      <c r="AF17">
        <v>0</v>
      </c>
      <c r="AG17">
        <v>1</v>
      </c>
      <c r="AH17">
        <v>1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0</v>
      </c>
      <c r="AP17">
        <v>1</v>
      </c>
      <c r="AQ17">
        <v>1</v>
      </c>
      <c r="AR17">
        <v>0</v>
      </c>
      <c r="AS17">
        <v>1</v>
      </c>
      <c r="AT17">
        <v>1</v>
      </c>
      <c r="AU17">
        <v>0</v>
      </c>
      <c r="AV17">
        <v>1</v>
      </c>
      <c r="AW17">
        <v>1</v>
      </c>
      <c r="AX17">
        <v>0</v>
      </c>
      <c r="AY17">
        <v>1</v>
      </c>
      <c r="AZ17">
        <v>1</v>
      </c>
      <c r="BA17">
        <v>0</v>
      </c>
      <c r="BB17">
        <v>1</v>
      </c>
      <c r="BC17">
        <v>1</v>
      </c>
      <c r="BD17">
        <v>0</v>
      </c>
      <c r="BE17">
        <v>1</v>
      </c>
      <c r="BF17">
        <v>1</v>
      </c>
      <c r="BG17">
        <v>0</v>
      </c>
      <c r="BH17">
        <v>1</v>
      </c>
      <c r="BI17">
        <v>1</v>
      </c>
      <c r="BJ17">
        <v>0</v>
      </c>
      <c r="BK17">
        <v>1</v>
      </c>
      <c r="BL17">
        <v>1</v>
      </c>
      <c r="BM17">
        <v>0</v>
      </c>
      <c r="BN17">
        <v>1</v>
      </c>
      <c r="BO17">
        <v>1</v>
      </c>
      <c r="BP17">
        <v>0</v>
      </c>
      <c r="BQ17">
        <v>1</v>
      </c>
      <c r="BR17">
        <v>1</v>
      </c>
      <c r="BS17">
        <v>0</v>
      </c>
      <c r="BT17">
        <v>1</v>
      </c>
      <c r="BU17">
        <v>1</v>
      </c>
      <c r="BV17">
        <v>0</v>
      </c>
      <c r="BW17">
        <v>1</v>
      </c>
      <c r="BX17">
        <v>1</v>
      </c>
      <c r="BY17">
        <v>0</v>
      </c>
      <c r="BZ17">
        <v>1</v>
      </c>
      <c r="CA17">
        <v>1</v>
      </c>
      <c r="CB17">
        <v>0</v>
      </c>
      <c r="CC17">
        <v>1</v>
      </c>
      <c r="CD17">
        <v>1</v>
      </c>
      <c r="CE17">
        <v>0</v>
      </c>
      <c r="CW17">
        <v>0</v>
      </c>
    </row>
    <row r="18" spans="1:101" x14ac:dyDescent="0.25">
      <c r="A18" s="2" t="s">
        <v>57</v>
      </c>
      <c r="B18">
        <v>0</v>
      </c>
      <c r="C18" s="2" t="s">
        <v>58</v>
      </c>
      <c r="E18" t="str">
        <v>Dispatch</v>
      </c>
      <c r="F18">
        <v>0</v>
      </c>
      <c r="G18">
        <v>0</v>
      </c>
      <c r="H18" t="s">
        <v>37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W18">
        <v>0</v>
      </c>
    </row>
    <row r="19" spans="1:101" x14ac:dyDescent="0.25">
      <c r="A19" s="2" t="s">
        <v>59</v>
      </c>
      <c r="B19">
        <v>204</v>
      </c>
      <c r="C19" s="2" t="s">
        <v>60</v>
      </c>
      <c r="E19" t="str">
        <v>Out</v>
      </c>
      <c r="G19" t="e">
        <v>#N/A</v>
      </c>
      <c r="H19" t="s">
        <v>39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</row>
    <row r="20" spans="1:101" x14ac:dyDescent="0.25">
      <c r="A20" s="2" t="s">
        <v>60</v>
      </c>
      <c r="B20">
        <v>900</v>
      </c>
      <c r="C20" s="2" t="s">
        <v>57</v>
      </c>
      <c r="E20" t="str">
        <v>ProductOut</v>
      </c>
      <c r="F20">
        <v>84</v>
      </c>
      <c r="G20">
        <v>84</v>
      </c>
      <c r="H20" t="s">
        <v>64</v>
      </c>
      <c r="I20">
        <v>32</v>
      </c>
      <c r="J20">
        <v>84</v>
      </c>
      <c r="K20">
        <v>86</v>
      </c>
      <c r="L20">
        <v>84</v>
      </c>
      <c r="M20">
        <v>85</v>
      </c>
      <c r="N20">
        <v>86</v>
      </c>
      <c r="O20">
        <v>84</v>
      </c>
      <c r="P20">
        <v>85</v>
      </c>
      <c r="Q20">
        <v>86</v>
      </c>
      <c r="R20">
        <v>84</v>
      </c>
      <c r="S20">
        <v>85</v>
      </c>
      <c r="T20">
        <v>86</v>
      </c>
      <c r="U20">
        <v>84</v>
      </c>
      <c r="V20">
        <v>85</v>
      </c>
      <c r="W20">
        <v>86</v>
      </c>
      <c r="X20">
        <v>84</v>
      </c>
      <c r="Y20">
        <v>85</v>
      </c>
      <c r="Z20">
        <v>86</v>
      </c>
      <c r="AA20">
        <v>84</v>
      </c>
      <c r="AB20">
        <v>85</v>
      </c>
      <c r="AC20">
        <v>86</v>
      </c>
      <c r="AD20">
        <v>84</v>
      </c>
      <c r="AE20">
        <v>85</v>
      </c>
      <c r="AF20">
        <v>86</v>
      </c>
      <c r="AG20">
        <v>84</v>
      </c>
      <c r="AH20">
        <v>85</v>
      </c>
      <c r="AI20">
        <v>86</v>
      </c>
      <c r="AJ20">
        <v>84</v>
      </c>
      <c r="AK20">
        <v>85</v>
      </c>
      <c r="AL20">
        <v>86</v>
      </c>
      <c r="AM20">
        <v>84</v>
      </c>
      <c r="AN20">
        <v>85</v>
      </c>
      <c r="AO20">
        <v>86</v>
      </c>
      <c r="AP20">
        <v>84</v>
      </c>
      <c r="AQ20">
        <v>85</v>
      </c>
      <c r="AR20">
        <v>86</v>
      </c>
      <c r="AS20">
        <v>84</v>
      </c>
      <c r="AT20">
        <v>85</v>
      </c>
      <c r="AU20">
        <v>86</v>
      </c>
      <c r="AV20">
        <v>84</v>
      </c>
      <c r="AW20">
        <v>85</v>
      </c>
      <c r="AX20">
        <v>86</v>
      </c>
      <c r="AY20">
        <v>84</v>
      </c>
      <c r="AZ20">
        <v>85</v>
      </c>
      <c r="BA20">
        <v>86</v>
      </c>
      <c r="BB20">
        <v>84</v>
      </c>
      <c r="BC20">
        <v>85</v>
      </c>
      <c r="BD20">
        <v>86</v>
      </c>
      <c r="BE20">
        <v>84</v>
      </c>
      <c r="BF20">
        <v>85</v>
      </c>
      <c r="BG20">
        <v>86</v>
      </c>
      <c r="BH20">
        <v>84</v>
      </c>
      <c r="BI20">
        <v>85</v>
      </c>
      <c r="BJ20">
        <v>86</v>
      </c>
      <c r="BK20">
        <v>84</v>
      </c>
      <c r="BL20">
        <v>85</v>
      </c>
      <c r="BM20">
        <v>86</v>
      </c>
      <c r="BN20">
        <v>84</v>
      </c>
      <c r="BO20">
        <v>85</v>
      </c>
      <c r="BP20">
        <v>86</v>
      </c>
      <c r="BQ20">
        <v>84</v>
      </c>
      <c r="BR20">
        <v>85</v>
      </c>
      <c r="BS20">
        <v>86</v>
      </c>
      <c r="BT20">
        <v>84</v>
      </c>
      <c r="BU20">
        <v>85</v>
      </c>
      <c r="BV20">
        <v>86</v>
      </c>
      <c r="BW20">
        <v>84</v>
      </c>
      <c r="BX20">
        <v>85</v>
      </c>
      <c r="BY20">
        <v>86</v>
      </c>
      <c r="BZ20">
        <v>84</v>
      </c>
      <c r="CA20">
        <v>85</v>
      </c>
      <c r="CB20">
        <v>86</v>
      </c>
      <c r="CC20">
        <v>84</v>
      </c>
      <c r="CD20">
        <v>85</v>
      </c>
      <c r="CE20">
        <v>86</v>
      </c>
      <c r="CW20">
        <v>84</v>
      </c>
    </row>
    <row r="21" spans="1:101" x14ac:dyDescent="0.25">
      <c r="A21" s="2" t="s">
        <v>58</v>
      </c>
      <c r="B21">
        <v>0</v>
      </c>
      <c r="C21" s="2" t="s">
        <v>61</v>
      </c>
    </row>
    <row r="22" spans="1:101" x14ac:dyDescent="0.25">
      <c r="A22" s="2" t="s">
        <v>61</v>
      </c>
      <c r="B22">
        <v>0</v>
      </c>
      <c r="C22" s="2" t="s">
        <v>36</v>
      </c>
    </row>
    <row r="23" spans="1:101" x14ac:dyDescent="0.25">
      <c r="A23" s="2" t="s">
        <v>62</v>
      </c>
      <c r="B23">
        <v>499</v>
      </c>
      <c r="C23" s="2" t="s">
        <v>36</v>
      </c>
    </row>
    <row r="24" spans="1:101" x14ac:dyDescent="0.25">
      <c r="A24" s="2" t="s">
        <v>36</v>
      </c>
      <c r="B24">
        <v>1</v>
      </c>
      <c r="C24" s="2" t="s">
        <v>37</v>
      </c>
    </row>
    <row r="25" spans="1:101" x14ac:dyDescent="0.25">
      <c r="A25" s="2" t="s">
        <v>37</v>
      </c>
      <c r="B25">
        <v>0</v>
      </c>
      <c r="C25" s="2" t="s">
        <v>39</v>
      </c>
    </row>
    <row r="26" spans="1:101" x14ac:dyDescent="0.25">
      <c r="A26" s="2" t="s">
        <v>64</v>
      </c>
      <c r="B26">
        <v>84</v>
      </c>
      <c r="C26" s="2" t="s">
        <v>64</v>
      </c>
    </row>
  </sheetData>
  <mergeCells count="1">
    <mergeCell ref="I1:CU1"/>
  </mergeCells>
  <phoneticPr fontId="3" type="noConversion"/>
  <conditionalFormatting sqref="I20:CE20">
    <cfRule type="cellIs" dxfId="4" priority="4" operator="equal">
      <formula>86</formula>
    </cfRule>
  </conditionalFormatting>
  <conditionalFormatting sqref="F20">
    <cfRule type="cellIs" dxfId="3" priority="2" operator="equal">
      <formula>86</formula>
    </cfRule>
  </conditionalFormatting>
  <conditionalFormatting sqref="CW20">
    <cfRule type="cellIs" dxfId="0" priority="1" operator="equal">
      <formula>86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onnections">
                <anchor mov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B363-D9C5-4732-B578-5D3CB3F270D1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8C030-657A-487E-8DF9-859E3ED3A5A8}">
  <sheetPr codeName="Sheet2"/>
  <dimension ref="A1:C172"/>
  <sheetViews>
    <sheetView topLeftCell="A142" workbookViewId="0">
      <selection activeCell="B157" sqref="B157"/>
    </sheetView>
  </sheetViews>
  <sheetFormatPr defaultRowHeight="15" x14ac:dyDescent="0.25"/>
  <cols>
    <col min="1" max="1" width="26.42578125" bestFit="1" customWidth="1"/>
    <col min="3" max="3" width="20.140625" bestFit="1" customWidth="1"/>
  </cols>
  <sheetData>
    <row r="1" spans="1:3" ht="15.75" thickBot="1" x14ac:dyDescent="0.3">
      <c r="A1" s="1" t="s">
        <v>5</v>
      </c>
      <c r="B1" s="1" t="s">
        <v>6</v>
      </c>
      <c r="C1" s="1" t="s">
        <v>7</v>
      </c>
    </row>
    <row r="2" spans="1:3" x14ac:dyDescent="0.25">
      <c r="A2" t="s">
        <v>0</v>
      </c>
      <c r="B2">
        <v>600</v>
      </c>
      <c r="C2" t="s">
        <v>3</v>
      </c>
    </row>
    <row r="3" spans="1:3" x14ac:dyDescent="0.25">
      <c r="A3" t="s">
        <v>1</v>
      </c>
      <c r="B3">
        <v>120</v>
      </c>
      <c r="C3" t="s">
        <v>3</v>
      </c>
    </row>
    <row r="4" spans="1:3" x14ac:dyDescent="0.25">
      <c r="A4" t="s">
        <v>2</v>
      </c>
      <c r="B4">
        <v>1800</v>
      </c>
      <c r="C4" t="s">
        <v>4</v>
      </c>
    </row>
    <row r="6" spans="1:3" x14ac:dyDescent="0.25">
      <c r="A6" s="4" t="s">
        <v>8</v>
      </c>
      <c r="B6" s="4"/>
      <c r="C6" s="4"/>
    </row>
    <row r="7" spans="1:3" x14ac:dyDescent="0.25">
      <c r="A7" t="s">
        <v>9</v>
      </c>
      <c r="B7">
        <v>0</v>
      </c>
      <c r="C7" t="s">
        <v>3</v>
      </c>
    </row>
    <row r="8" spans="1:3" x14ac:dyDescent="0.25">
      <c r="A8" t="s">
        <v>10</v>
      </c>
      <c r="B8">
        <v>1</v>
      </c>
      <c r="C8" t="s">
        <v>14</v>
      </c>
    </row>
    <row r="9" spans="1:3" x14ac:dyDescent="0.25">
      <c r="A9" t="s">
        <v>12</v>
      </c>
      <c r="B9">
        <v>2.78</v>
      </c>
      <c r="C9" t="s">
        <v>4</v>
      </c>
    </row>
    <row r="10" spans="1:3" x14ac:dyDescent="0.25">
      <c r="A10" t="s">
        <v>11</v>
      </c>
      <c r="B10">
        <v>124.9</v>
      </c>
      <c r="C10" t="s">
        <v>4</v>
      </c>
    </row>
    <row r="11" spans="1:3" x14ac:dyDescent="0.25">
      <c r="A11" t="s">
        <v>13</v>
      </c>
      <c r="B11">
        <v>0</v>
      </c>
    </row>
    <row r="13" spans="1:3" x14ac:dyDescent="0.25">
      <c r="A13" s="4" t="s">
        <v>15</v>
      </c>
      <c r="B13" s="4"/>
      <c r="C13" s="4"/>
    </row>
    <row r="14" spans="1:3" x14ac:dyDescent="0.25">
      <c r="A14" t="s">
        <v>9</v>
      </c>
      <c r="B14">
        <v>0</v>
      </c>
      <c r="C14" t="s">
        <v>3</v>
      </c>
    </row>
    <row r="15" spans="1:3" x14ac:dyDescent="0.25">
      <c r="A15" t="s">
        <v>10</v>
      </c>
      <c r="B15">
        <v>1</v>
      </c>
      <c r="C15" t="s">
        <v>14</v>
      </c>
    </row>
    <row r="16" spans="1:3" x14ac:dyDescent="0.25">
      <c r="A16" t="s">
        <v>12</v>
      </c>
      <c r="B16">
        <v>2.98</v>
      </c>
      <c r="C16" t="s">
        <v>4</v>
      </c>
    </row>
    <row r="17" spans="1:3" x14ac:dyDescent="0.25">
      <c r="A17" t="s">
        <v>11</v>
      </c>
      <c r="B17">
        <v>185.2</v>
      </c>
      <c r="C17" t="s">
        <v>4</v>
      </c>
    </row>
    <row r="18" spans="1:3" x14ac:dyDescent="0.25">
      <c r="A18" t="s">
        <v>13</v>
      </c>
      <c r="B18">
        <v>0</v>
      </c>
    </row>
    <row r="20" spans="1:3" x14ac:dyDescent="0.25">
      <c r="A20" s="4" t="s">
        <v>16</v>
      </c>
      <c r="B20" s="4"/>
      <c r="C20" s="4"/>
    </row>
    <row r="21" spans="1:3" x14ac:dyDescent="0.25">
      <c r="A21" t="s">
        <v>9</v>
      </c>
      <c r="B21">
        <v>0</v>
      </c>
      <c r="C21" t="s">
        <v>3</v>
      </c>
    </row>
    <row r="22" spans="1:3" x14ac:dyDescent="0.25">
      <c r="A22" t="s">
        <v>10</v>
      </c>
      <c r="B22">
        <v>1</v>
      </c>
      <c r="C22" t="s">
        <v>14</v>
      </c>
    </row>
    <row r="23" spans="1:3" x14ac:dyDescent="0.25">
      <c r="A23" t="s">
        <v>12</v>
      </c>
      <c r="B23">
        <v>2.06</v>
      </c>
      <c r="C23" t="s">
        <v>4</v>
      </c>
    </row>
    <row r="24" spans="1:3" x14ac:dyDescent="0.25">
      <c r="A24" t="s">
        <v>11</v>
      </c>
      <c r="B24">
        <v>20.3</v>
      </c>
      <c r="C24" t="s">
        <v>4</v>
      </c>
    </row>
    <row r="25" spans="1:3" x14ac:dyDescent="0.25">
      <c r="A25" t="s">
        <v>13</v>
      </c>
      <c r="B25">
        <v>0</v>
      </c>
    </row>
    <row r="27" spans="1:3" x14ac:dyDescent="0.25">
      <c r="A27" s="4" t="s">
        <v>17</v>
      </c>
      <c r="B27" s="4"/>
      <c r="C27" s="4"/>
    </row>
    <row r="28" spans="1:3" x14ac:dyDescent="0.25">
      <c r="A28" t="s">
        <v>9</v>
      </c>
      <c r="B28">
        <v>0</v>
      </c>
      <c r="C28" t="s">
        <v>3</v>
      </c>
    </row>
    <row r="29" spans="1:3" x14ac:dyDescent="0.25">
      <c r="A29" t="s">
        <v>10</v>
      </c>
      <c r="B29">
        <v>1</v>
      </c>
      <c r="C29" t="s">
        <v>14</v>
      </c>
    </row>
    <row r="30" spans="1:3" x14ac:dyDescent="0.25">
      <c r="A30" t="s">
        <v>12</v>
      </c>
      <c r="B30">
        <v>1.82</v>
      </c>
      <c r="C30" t="s">
        <v>4</v>
      </c>
    </row>
    <row r="31" spans="1:3" x14ac:dyDescent="0.25">
      <c r="A31" t="s">
        <v>11</v>
      </c>
      <c r="B31">
        <v>44.400000000000006</v>
      </c>
      <c r="C31" t="s">
        <v>4</v>
      </c>
    </row>
    <row r="32" spans="1:3" x14ac:dyDescent="0.25">
      <c r="A32" t="s">
        <v>13</v>
      </c>
      <c r="B32">
        <v>0</v>
      </c>
    </row>
    <row r="34" spans="1:3" x14ac:dyDescent="0.25">
      <c r="A34" s="4" t="s">
        <v>18</v>
      </c>
      <c r="B34" s="4"/>
      <c r="C34" s="4"/>
    </row>
    <row r="35" spans="1:3" x14ac:dyDescent="0.25">
      <c r="A35" t="s">
        <v>9</v>
      </c>
      <c r="B35">
        <v>0</v>
      </c>
      <c r="C35" t="s">
        <v>3</v>
      </c>
    </row>
    <row r="36" spans="1:3" x14ac:dyDescent="0.25">
      <c r="A36" t="s">
        <v>10</v>
      </c>
      <c r="B36">
        <v>1</v>
      </c>
      <c r="C36" t="s">
        <v>14</v>
      </c>
    </row>
    <row r="37" spans="1:3" x14ac:dyDescent="0.25">
      <c r="A37" t="s">
        <v>12</v>
      </c>
      <c r="B37">
        <v>14.31</v>
      </c>
      <c r="C37" t="s">
        <v>4</v>
      </c>
    </row>
    <row r="38" spans="1:3" x14ac:dyDescent="0.25">
      <c r="A38" t="s">
        <v>11</v>
      </c>
      <c r="B38">
        <v>224.54</v>
      </c>
      <c r="C38" t="s">
        <v>4</v>
      </c>
    </row>
    <row r="39" spans="1:3" x14ac:dyDescent="0.25">
      <c r="A39" t="s">
        <v>13</v>
      </c>
      <c r="B39">
        <v>0</v>
      </c>
    </row>
    <row r="41" spans="1:3" x14ac:dyDescent="0.25">
      <c r="A41" s="4" t="s">
        <v>19</v>
      </c>
      <c r="B41" s="4"/>
      <c r="C41" s="4"/>
    </row>
    <row r="42" spans="1:3" x14ac:dyDescent="0.25">
      <c r="A42" t="s">
        <v>9</v>
      </c>
      <c r="B42">
        <v>0</v>
      </c>
      <c r="C42" t="s">
        <v>3</v>
      </c>
    </row>
    <row r="43" spans="1:3" x14ac:dyDescent="0.25">
      <c r="A43" t="s">
        <v>10</v>
      </c>
      <c r="B43">
        <v>1</v>
      </c>
      <c r="C43" t="s">
        <v>14</v>
      </c>
    </row>
    <row r="44" spans="1:3" x14ac:dyDescent="0.25">
      <c r="A44" t="s">
        <v>12</v>
      </c>
      <c r="B44">
        <v>8.32</v>
      </c>
      <c r="C44" t="s">
        <v>4</v>
      </c>
    </row>
    <row r="45" spans="1:3" x14ac:dyDescent="0.25">
      <c r="A45" t="s">
        <v>11</v>
      </c>
      <c r="B45">
        <v>141.69999999999999</v>
      </c>
      <c r="C45" t="s">
        <v>4</v>
      </c>
    </row>
    <row r="46" spans="1:3" x14ac:dyDescent="0.25">
      <c r="A46" t="s">
        <v>13</v>
      </c>
      <c r="B46">
        <v>0</v>
      </c>
    </row>
    <row r="48" spans="1:3" x14ac:dyDescent="0.25">
      <c r="A48" s="4" t="s">
        <v>20</v>
      </c>
      <c r="B48" s="4"/>
      <c r="C48" s="4"/>
    </row>
    <row r="49" spans="1:3" x14ac:dyDescent="0.25">
      <c r="A49" t="s">
        <v>9</v>
      </c>
      <c r="B49">
        <v>0</v>
      </c>
      <c r="C49" t="s">
        <v>3</v>
      </c>
    </row>
    <row r="50" spans="1:3" x14ac:dyDescent="0.25">
      <c r="A50" t="s">
        <v>10</v>
      </c>
      <c r="B50">
        <v>1</v>
      </c>
      <c r="C50" t="s">
        <v>14</v>
      </c>
    </row>
    <row r="51" spans="1:3" x14ac:dyDescent="0.25">
      <c r="A51" t="s">
        <v>12</v>
      </c>
      <c r="B51">
        <v>11.07</v>
      </c>
      <c r="C51" t="s">
        <v>4</v>
      </c>
    </row>
    <row r="52" spans="1:3" x14ac:dyDescent="0.25">
      <c r="A52" t="s">
        <v>11</v>
      </c>
      <c r="B52">
        <v>100.46</v>
      </c>
      <c r="C52" t="s">
        <v>4</v>
      </c>
    </row>
    <row r="53" spans="1:3" x14ac:dyDescent="0.25">
      <c r="A53" t="s">
        <v>13</v>
      </c>
      <c r="B53">
        <v>0</v>
      </c>
    </row>
    <row r="55" spans="1:3" x14ac:dyDescent="0.25">
      <c r="A55" s="4" t="s">
        <v>21</v>
      </c>
      <c r="B55" s="4"/>
      <c r="C55" s="4"/>
    </row>
    <row r="56" spans="1:3" x14ac:dyDescent="0.25">
      <c r="A56" t="s">
        <v>9</v>
      </c>
      <c r="B56">
        <v>0</v>
      </c>
      <c r="C56" t="s">
        <v>3</v>
      </c>
    </row>
    <row r="57" spans="1:3" x14ac:dyDescent="0.25">
      <c r="A57" t="s">
        <v>10</v>
      </c>
      <c r="B57">
        <v>1</v>
      </c>
      <c r="C57" t="s">
        <v>14</v>
      </c>
    </row>
    <row r="58" spans="1:3" x14ac:dyDescent="0.25">
      <c r="A58" t="s">
        <v>12</v>
      </c>
      <c r="B58">
        <v>0</v>
      </c>
      <c r="C58" t="s">
        <v>4</v>
      </c>
    </row>
    <row r="59" spans="1:3" x14ac:dyDescent="0.25">
      <c r="A59" t="s">
        <v>11</v>
      </c>
      <c r="B59">
        <v>153.38</v>
      </c>
      <c r="C59" t="s">
        <v>4</v>
      </c>
    </row>
    <row r="60" spans="1:3" x14ac:dyDescent="0.25">
      <c r="A60" t="s">
        <v>13</v>
      </c>
      <c r="B60">
        <v>0</v>
      </c>
    </row>
    <row r="62" spans="1:3" x14ac:dyDescent="0.25">
      <c r="A62" s="4" t="s">
        <v>22</v>
      </c>
      <c r="B62" s="4"/>
      <c r="C62" s="4"/>
    </row>
    <row r="63" spans="1:3" x14ac:dyDescent="0.25">
      <c r="A63" t="s">
        <v>9</v>
      </c>
      <c r="B63">
        <v>0</v>
      </c>
      <c r="C63" t="s">
        <v>3</v>
      </c>
    </row>
    <row r="64" spans="1:3" x14ac:dyDescent="0.25">
      <c r="A64" t="s">
        <v>10</v>
      </c>
      <c r="B64">
        <v>1</v>
      </c>
      <c r="C64" t="s">
        <v>14</v>
      </c>
    </row>
    <row r="65" spans="1:3" x14ac:dyDescent="0.25">
      <c r="A65" t="s">
        <v>12</v>
      </c>
      <c r="B65">
        <v>35.770000000000003</v>
      </c>
      <c r="C65" t="s">
        <v>4</v>
      </c>
    </row>
    <row r="66" spans="1:3" x14ac:dyDescent="0.25">
      <c r="A66" t="s">
        <v>11</v>
      </c>
      <c r="B66">
        <v>238.5</v>
      </c>
      <c r="C66" t="s">
        <v>4</v>
      </c>
    </row>
    <row r="67" spans="1:3" x14ac:dyDescent="0.25">
      <c r="A67" t="s">
        <v>13</v>
      </c>
      <c r="B67">
        <v>0</v>
      </c>
    </row>
    <row r="69" spans="1:3" x14ac:dyDescent="0.25">
      <c r="A69" s="4" t="s">
        <v>23</v>
      </c>
      <c r="B69" s="4"/>
      <c r="C69" s="4"/>
    </row>
    <row r="70" spans="1:3" x14ac:dyDescent="0.25">
      <c r="A70" t="s">
        <v>9</v>
      </c>
      <c r="B70">
        <v>0</v>
      </c>
      <c r="C70" t="s">
        <v>3</v>
      </c>
    </row>
    <row r="71" spans="1:3" x14ac:dyDescent="0.25">
      <c r="A71" t="s">
        <v>10</v>
      </c>
      <c r="B71">
        <v>1</v>
      </c>
      <c r="C71" t="s">
        <v>14</v>
      </c>
    </row>
    <row r="72" spans="1:3" x14ac:dyDescent="0.25">
      <c r="A72" t="s">
        <v>12</v>
      </c>
      <c r="B72">
        <v>13.86</v>
      </c>
      <c r="C72" t="s">
        <v>4</v>
      </c>
    </row>
    <row r="73" spans="1:3" x14ac:dyDescent="0.25">
      <c r="A73" t="s">
        <v>11</v>
      </c>
      <c r="B73">
        <v>127.1</v>
      </c>
      <c r="C73" t="s">
        <v>4</v>
      </c>
    </row>
    <row r="74" spans="1:3" x14ac:dyDescent="0.25">
      <c r="A74" t="s">
        <v>13</v>
      </c>
      <c r="B74">
        <v>0</v>
      </c>
    </row>
    <row r="76" spans="1:3" x14ac:dyDescent="0.25">
      <c r="A76" s="4" t="s">
        <v>24</v>
      </c>
      <c r="B76" s="4"/>
      <c r="C76" s="4"/>
    </row>
    <row r="77" spans="1:3" x14ac:dyDescent="0.25">
      <c r="A77" t="s">
        <v>9</v>
      </c>
      <c r="B77">
        <v>0</v>
      </c>
      <c r="C77" t="s">
        <v>3</v>
      </c>
    </row>
    <row r="78" spans="1:3" x14ac:dyDescent="0.25">
      <c r="A78" t="s">
        <v>10</v>
      </c>
      <c r="B78">
        <v>1</v>
      </c>
      <c r="C78" t="s">
        <v>14</v>
      </c>
    </row>
    <row r="79" spans="1:3" x14ac:dyDescent="0.25">
      <c r="A79" t="s">
        <v>12</v>
      </c>
      <c r="B79">
        <v>21.71</v>
      </c>
      <c r="C79" t="s">
        <v>4</v>
      </c>
    </row>
    <row r="80" spans="1:3" x14ac:dyDescent="0.25">
      <c r="A80" t="s">
        <v>11</v>
      </c>
      <c r="B80">
        <v>449.61</v>
      </c>
      <c r="C80" t="s">
        <v>4</v>
      </c>
    </row>
    <row r="81" spans="1:3" x14ac:dyDescent="0.25">
      <c r="A81" t="s">
        <v>13</v>
      </c>
      <c r="B81">
        <v>0</v>
      </c>
    </row>
    <row r="83" spans="1:3" x14ac:dyDescent="0.25">
      <c r="A83" s="4" t="s">
        <v>25</v>
      </c>
      <c r="B83" s="4"/>
      <c r="C83" s="4"/>
    </row>
    <row r="84" spans="1:3" x14ac:dyDescent="0.25">
      <c r="A84" t="s">
        <v>9</v>
      </c>
      <c r="B84">
        <v>0</v>
      </c>
      <c r="C84" t="s">
        <v>3</v>
      </c>
    </row>
    <row r="85" spans="1:3" x14ac:dyDescent="0.25">
      <c r="A85" t="s">
        <v>10</v>
      </c>
      <c r="B85">
        <v>1</v>
      </c>
      <c r="C85" t="s">
        <v>14</v>
      </c>
    </row>
    <row r="86" spans="1:3" x14ac:dyDescent="0.25">
      <c r="A86" t="s">
        <v>12</v>
      </c>
      <c r="B86">
        <v>1.87</v>
      </c>
      <c r="C86" t="s">
        <v>4</v>
      </c>
    </row>
    <row r="87" spans="1:3" x14ac:dyDescent="0.25">
      <c r="A87" t="s">
        <v>11</v>
      </c>
      <c r="B87">
        <v>75.899999999999991</v>
      </c>
      <c r="C87" t="s">
        <v>4</v>
      </c>
    </row>
    <row r="88" spans="1:3" x14ac:dyDescent="0.25">
      <c r="A88" t="s">
        <v>13</v>
      </c>
      <c r="B88">
        <v>0</v>
      </c>
    </row>
    <row r="90" spans="1:3" x14ac:dyDescent="0.25">
      <c r="A90" s="4" t="s">
        <v>26</v>
      </c>
      <c r="B90" s="4"/>
      <c r="C90" s="4"/>
    </row>
    <row r="91" spans="1:3" x14ac:dyDescent="0.25">
      <c r="A91" t="s">
        <v>9</v>
      </c>
      <c r="B91">
        <v>0</v>
      </c>
      <c r="C91" t="s">
        <v>3</v>
      </c>
    </row>
    <row r="92" spans="1:3" x14ac:dyDescent="0.25">
      <c r="A92" t="s">
        <v>10</v>
      </c>
      <c r="B92">
        <v>1</v>
      </c>
      <c r="C92" t="s">
        <v>14</v>
      </c>
    </row>
    <row r="93" spans="1:3" x14ac:dyDescent="0.25">
      <c r="A93" t="s">
        <v>12</v>
      </c>
      <c r="B93">
        <v>9.92</v>
      </c>
      <c r="C93" t="s">
        <v>4</v>
      </c>
    </row>
    <row r="94" spans="1:3" x14ac:dyDescent="0.25">
      <c r="A94" t="s">
        <v>11</v>
      </c>
      <c r="B94">
        <v>67.3</v>
      </c>
      <c r="C94" t="s">
        <v>4</v>
      </c>
    </row>
    <row r="95" spans="1:3" x14ac:dyDescent="0.25">
      <c r="A95" t="s">
        <v>13</v>
      </c>
      <c r="B95">
        <v>0</v>
      </c>
    </row>
    <row r="97" spans="1:3" x14ac:dyDescent="0.25">
      <c r="A97" s="4" t="s">
        <v>27</v>
      </c>
      <c r="B97" s="4"/>
      <c r="C97" s="4"/>
    </row>
    <row r="98" spans="1:3" x14ac:dyDescent="0.25">
      <c r="A98" t="s">
        <v>9</v>
      </c>
      <c r="B98">
        <v>0</v>
      </c>
      <c r="C98" t="s">
        <v>3</v>
      </c>
    </row>
    <row r="99" spans="1:3" x14ac:dyDescent="0.25">
      <c r="A99" t="s">
        <v>10</v>
      </c>
      <c r="B99">
        <v>1</v>
      </c>
      <c r="C99" t="s">
        <v>14</v>
      </c>
    </row>
    <row r="100" spans="1:3" x14ac:dyDescent="0.25">
      <c r="A100" t="s">
        <v>12</v>
      </c>
      <c r="B100">
        <v>2.13</v>
      </c>
      <c r="C100" t="s">
        <v>4</v>
      </c>
    </row>
    <row r="101" spans="1:3" x14ac:dyDescent="0.25">
      <c r="A101" t="s">
        <v>11</v>
      </c>
      <c r="B101">
        <v>28.9</v>
      </c>
      <c r="C101" t="s">
        <v>4</v>
      </c>
    </row>
    <row r="102" spans="1:3" x14ac:dyDescent="0.25">
      <c r="A102" t="s">
        <v>13</v>
      </c>
      <c r="B102">
        <v>0</v>
      </c>
    </row>
    <row r="104" spans="1:3" x14ac:dyDescent="0.25">
      <c r="A104" s="4" t="s">
        <v>28</v>
      </c>
      <c r="B104" s="4"/>
      <c r="C104" s="4"/>
    </row>
    <row r="105" spans="1:3" x14ac:dyDescent="0.25">
      <c r="A105" t="s">
        <v>9</v>
      </c>
      <c r="B105">
        <v>0</v>
      </c>
      <c r="C105" t="s">
        <v>3</v>
      </c>
    </row>
    <row r="106" spans="1:3" x14ac:dyDescent="0.25">
      <c r="A106" t="s">
        <v>10</v>
      </c>
      <c r="B106">
        <v>1</v>
      </c>
      <c r="C106" t="s">
        <v>14</v>
      </c>
    </row>
    <row r="107" spans="1:3" x14ac:dyDescent="0.25">
      <c r="A107" t="s">
        <v>12</v>
      </c>
      <c r="B107">
        <v>5.28</v>
      </c>
      <c r="C107" t="s">
        <v>4</v>
      </c>
    </row>
    <row r="108" spans="1:3" x14ac:dyDescent="0.25">
      <c r="A108" t="s">
        <v>11</v>
      </c>
      <c r="B108">
        <v>108.75</v>
      </c>
      <c r="C108" t="s">
        <v>4</v>
      </c>
    </row>
    <row r="109" spans="1:3" x14ac:dyDescent="0.25">
      <c r="A109" t="s">
        <v>13</v>
      </c>
      <c r="B109">
        <v>0</v>
      </c>
    </row>
    <row r="111" spans="1:3" x14ac:dyDescent="0.25">
      <c r="A111" s="4" t="s">
        <v>29</v>
      </c>
      <c r="B111" s="4"/>
      <c r="C111" s="4"/>
    </row>
    <row r="112" spans="1:3" x14ac:dyDescent="0.25">
      <c r="A112" t="s">
        <v>9</v>
      </c>
      <c r="B112">
        <v>0</v>
      </c>
      <c r="C112" t="s">
        <v>3</v>
      </c>
    </row>
    <row r="113" spans="1:3" x14ac:dyDescent="0.25">
      <c r="A113" t="s">
        <v>10</v>
      </c>
      <c r="B113">
        <v>1</v>
      </c>
      <c r="C113" t="s">
        <v>14</v>
      </c>
    </row>
    <row r="114" spans="1:3" x14ac:dyDescent="0.25">
      <c r="A114" t="s">
        <v>12</v>
      </c>
      <c r="B114">
        <v>3.82</v>
      </c>
      <c r="C114" t="s">
        <v>4</v>
      </c>
    </row>
    <row r="115" spans="1:3" x14ac:dyDescent="0.25">
      <c r="A115" t="s">
        <v>11</v>
      </c>
      <c r="B115">
        <v>339.8</v>
      </c>
      <c r="C115" t="s">
        <v>4</v>
      </c>
    </row>
    <row r="116" spans="1:3" x14ac:dyDescent="0.25">
      <c r="A116" t="s">
        <v>13</v>
      </c>
      <c r="B116">
        <v>0</v>
      </c>
    </row>
    <row r="118" spans="1:3" x14ac:dyDescent="0.25">
      <c r="A118" s="4" t="s">
        <v>30</v>
      </c>
      <c r="B118" s="4"/>
      <c r="C118" s="4"/>
    </row>
    <row r="119" spans="1:3" x14ac:dyDescent="0.25">
      <c r="A119" t="s">
        <v>9</v>
      </c>
      <c r="B119">
        <v>0</v>
      </c>
      <c r="C119" t="s">
        <v>3</v>
      </c>
    </row>
    <row r="120" spans="1:3" x14ac:dyDescent="0.25">
      <c r="A120" t="s">
        <v>10</v>
      </c>
      <c r="B120">
        <v>1</v>
      </c>
      <c r="C120" t="s">
        <v>14</v>
      </c>
    </row>
    <row r="121" spans="1:3" x14ac:dyDescent="0.25">
      <c r="A121" t="s">
        <v>12</v>
      </c>
      <c r="B121">
        <v>2.4900000000000002</v>
      </c>
      <c r="C121" t="s">
        <v>4</v>
      </c>
    </row>
    <row r="122" spans="1:3" x14ac:dyDescent="0.25">
      <c r="A122" t="s">
        <v>11</v>
      </c>
      <c r="B122">
        <v>53</v>
      </c>
      <c r="C122" t="s">
        <v>4</v>
      </c>
    </row>
    <row r="123" spans="1:3" x14ac:dyDescent="0.25">
      <c r="A123" t="s">
        <v>13</v>
      </c>
      <c r="B123">
        <v>0</v>
      </c>
    </row>
    <row r="125" spans="1:3" x14ac:dyDescent="0.25">
      <c r="A125" s="4" t="s">
        <v>31</v>
      </c>
      <c r="B125" s="4"/>
      <c r="C125" s="4"/>
    </row>
    <row r="126" spans="1:3" x14ac:dyDescent="0.25">
      <c r="A126" t="s">
        <v>9</v>
      </c>
      <c r="B126">
        <v>0</v>
      </c>
      <c r="C126" t="s">
        <v>3</v>
      </c>
    </row>
    <row r="127" spans="1:3" x14ac:dyDescent="0.25">
      <c r="A127" t="s">
        <v>10</v>
      </c>
      <c r="B127">
        <v>1</v>
      </c>
      <c r="C127" t="s">
        <v>14</v>
      </c>
    </row>
    <row r="128" spans="1:3" x14ac:dyDescent="0.25">
      <c r="A128" t="s">
        <v>12</v>
      </c>
      <c r="B128">
        <v>4.21</v>
      </c>
      <c r="C128" t="s">
        <v>4</v>
      </c>
    </row>
    <row r="129" spans="1:3" x14ac:dyDescent="0.25">
      <c r="A129" t="s">
        <v>11</v>
      </c>
      <c r="B129">
        <v>73.600000000000009</v>
      </c>
      <c r="C129" t="s">
        <v>4</v>
      </c>
    </row>
    <row r="130" spans="1:3" x14ac:dyDescent="0.25">
      <c r="A130" t="s">
        <v>13</v>
      </c>
      <c r="B130">
        <v>0</v>
      </c>
    </row>
    <row r="132" spans="1:3" x14ac:dyDescent="0.25">
      <c r="A132" s="4" t="s">
        <v>32</v>
      </c>
      <c r="B132" s="4"/>
      <c r="C132" s="4"/>
    </row>
    <row r="133" spans="1:3" x14ac:dyDescent="0.25">
      <c r="A133" t="s">
        <v>9</v>
      </c>
      <c r="B133">
        <v>0</v>
      </c>
      <c r="C133" t="s">
        <v>3</v>
      </c>
    </row>
    <row r="134" spans="1:3" x14ac:dyDescent="0.25">
      <c r="A134" t="s">
        <v>10</v>
      </c>
      <c r="B134">
        <v>1</v>
      </c>
      <c r="C134" t="s">
        <v>14</v>
      </c>
    </row>
    <row r="135" spans="1:3" x14ac:dyDescent="0.25">
      <c r="A135" t="s">
        <v>12</v>
      </c>
      <c r="B135">
        <v>17.09</v>
      </c>
      <c r="C135" t="s">
        <v>4</v>
      </c>
    </row>
    <row r="136" spans="1:3" x14ac:dyDescent="0.25">
      <c r="A136" t="s">
        <v>11</v>
      </c>
      <c r="B136">
        <v>301.7</v>
      </c>
      <c r="C136" t="s">
        <v>4</v>
      </c>
    </row>
    <row r="137" spans="1:3" x14ac:dyDescent="0.25">
      <c r="A137" t="s">
        <v>13</v>
      </c>
      <c r="B137">
        <v>0</v>
      </c>
    </row>
    <row r="139" spans="1:3" x14ac:dyDescent="0.25">
      <c r="A139" s="4" t="s">
        <v>33</v>
      </c>
      <c r="B139" s="4"/>
      <c r="C139" s="4"/>
    </row>
    <row r="140" spans="1:3" x14ac:dyDescent="0.25">
      <c r="A140" t="s">
        <v>9</v>
      </c>
      <c r="B140">
        <v>0</v>
      </c>
      <c r="C140" t="s">
        <v>3</v>
      </c>
    </row>
    <row r="141" spans="1:3" x14ac:dyDescent="0.25">
      <c r="A141" t="s">
        <v>10</v>
      </c>
      <c r="B141">
        <v>1</v>
      </c>
      <c r="C141" t="s">
        <v>14</v>
      </c>
    </row>
    <row r="142" spans="1:3" x14ac:dyDescent="0.25">
      <c r="A142" t="s">
        <v>12</v>
      </c>
      <c r="B142">
        <v>2.12</v>
      </c>
      <c r="C142" t="s">
        <v>4</v>
      </c>
    </row>
    <row r="143" spans="1:3" x14ac:dyDescent="0.25">
      <c r="A143" t="s">
        <v>11</v>
      </c>
      <c r="B143">
        <v>53.4</v>
      </c>
      <c r="C143" t="s">
        <v>4</v>
      </c>
    </row>
    <row r="144" spans="1:3" x14ac:dyDescent="0.25">
      <c r="A144" t="s">
        <v>13</v>
      </c>
      <c r="B144">
        <v>0</v>
      </c>
    </row>
    <row r="146" spans="1:3" x14ac:dyDescent="0.25">
      <c r="A146" s="4" t="s">
        <v>34</v>
      </c>
      <c r="B146" s="4"/>
      <c r="C146" s="4"/>
    </row>
    <row r="147" spans="1:3" x14ac:dyDescent="0.25">
      <c r="A147" t="s">
        <v>9</v>
      </c>
      <c r="B147">
        <v>0</v>
      </c>
      <c r="C147" t="s">
        <v>3</v>
      </c>
    </row>
    <row r="148" spans="1:3" x14ac:dyDescent="0.25">
      <c r="A148" t="s">
        <v>10</v>
      </c>
      <c r="B148">
        <v>1</v>
      </c>
      <c r="C148" t="s">
        <v>14</v>
      </c>
    </row>
    <row r="149" spans="1:3" x14ac:dyDescent="0.25">
      <c r="A149" t="s">
        <v>12</v>
      </c>
      <c r="B149">
        <v>1.57</v>
      </c>
      <c r="C149" t="s">
        <v>4</v>
      </c>
    </row>
    <row r="150" spans="1:3" x14ac:dyDescent="0.25">
      <c r="A150" t="s">
        <v>11</v>
      </c>
      <c r="B150">
        <v>56.3</v>
      </c>
      <c r="C150" t="s">
        <v>4</v>
      </c>
    </row>
    <row r="151" spans="1:3" x14ac:dyDescent="0.25">
      <c r="A151" t="s">
        <v>13</v>
      </c>
      <c r="B151">
        <v>0</v>
      </c>
    </row>
    <row r="153" spans="1:3" x14ac:dyDescent="0.25">
      <c r="A153" s="4" t="s">
        <v>35</v>
      </c>
      <c r="B153" s="4"/>
      <c r="C153" s="4"/>
    </row>
    <row r="154" spans="1:3" x14ac:dyDescent="0.25">
      <c r="A154" t="s">
        <v>9</v>
      </c>
      <c r="B154">
        <v>0</v>
      </c>
      <c r="C154" t="s">
        <v>3</v>
      </c>
    </row>
    <row r="155" spans="1:3" x14ac:dyDescent="0.25">
      <c r="A155" t="s">
        <v>10</v>
      </c>
      <c r="B155">
        <v>1</v>
      </c>
      <c r="C155" t="s">
        <v>14</v>
      </c>
    </row>
    <row r="156" spans="1:3" x14ac:dyDescent="0.25">
      <c r="A156" t="s">
        <v>12</v>
      </c>
      <c r="B156">
        <v>39.700000000000003</v>
      </c>
      <c r="C156" t="s">
        <v>4</v>
      </c>
    </row>
    <row r="157" spans="1:3" x14ac:dyDescent="0.25">
      <c r="A157" t="s">
        <v>11</v>
      </c>
      <c r="B157">
        <v>285.39999999999998</v>
      </c>
      <c r="C157" t="s">
        <v>4</v>
      </c>
    </row>
    <row r="158" spans="1:3" x14ac:dyDescent="0.25">
      <c r="A158" t="s">
        <v>13</v>
      </c>
      <c r="B158">
        <v>0</v>
      </c>
    </row>
    <row r="160" spans="1:3" x14ac:dyDescent="0.25">
      <c r="A160" s="4" t="s">
        <v>36</v>
      </c>
      <c r="B160" s="4"/>
      <c r="C160" s="4"/>
    </row>
    <row r="161" spans="1:3" x14ac:dyDescent="0.25">
      <c r="A161" t="s">
        <v>9</v>
      </c>
      <c r="B161">
        <v>0</v>
      </c>
      <c r="C161" t="s">
        <v>3</v>
      </c>
    </row>
    <row r="162" spans="1:3" x14ac:dyDescent="0.25">
      <c r="A162" t="s">
        <v>10</v>
      </c>
      <c r="B162">
        <v>1</v>
      </c>
      <c r="C162" t="s">
        <v>14</v>
      </c>
    </row>
    <row r="163" spans="1:3" x14ac:dyDescent="0.25">
      <c r="A163" t="s">
        <v>12</v>
      </c>
      <c r="B163">
        <v>0</v>
      </c>
      <c r="C163" t="s">
        <v>4</v>
      </c>
    </row>
    <row r="164" spans="1:3" x14ac:dyDescent="0.25">
      <c r="A164" t="s">
        <v>11</v>
      </c>
      <c r="B164">
        <v>88.48</v>
      </c>
      <c r="C164" t="s">
        <v>4</v>
      </c>
    </row>
    <row r="165" spans="1:3" x14ac:dyDescent="0.25">
      <c r="A165" t="s">
        <v>13</v>
      </c>
      <c r="B165">
        <v>0</v>
      </c>
    </row>
    <row r="167" spans="1:3" x14ac:dyDescent="0.25">
      <c r="A167" s="4" t="s">
        <v>37</v>
      </c>
      <c r="B167" s="4"/>
      <c r="C167" s="4"/>
    </row>
    <row r="168" spans="1:3" x14ac:dyDescent="0.25">
      <c r="A168" t="s">
        <v>9</v>
      </c>
      <c r="B168">
        <v>0</v>
      </c>
      <c r="C168" t="s">
        <v>3</v>
      </c>
    </row>
    <row r="169" spans="1:3" x14ac:dyDescent="0.25">
      <c r="A169" t="s">
        <v>10</v>
      </c>
      <c r="B169">
        <v>1</v>
      </c>
      <c r="C169" t="s">
        <v>14</v>
      </c>
    </row>
    <row r="170" spans="1:3" x14ac:dyDescent="0.25">
      <c r="A170" t="s">
        <v>12</v>
      </c>
      <c r="B170">
        <v>0</v>
      </c>
      <c r="C170" t="s">
        <v>4</v>
      </c>
    </row>
    <row r="171" spans="1:3" x14ac:dyDescent="0.25">
      <c r="A171" t="s">
        <v>11</v>
      </c>
      <c r="B171">
        <v>10</v>
      </c>
      <c r="C171" t="s">
        <v>4</v>
      </c>
    </row>
    <row r="172" spans="1:3" x14ac:dyDescent="0.25">
      <c r="A172" t="s">
        <v>13</v>
      </c>
      <c r="B172">
        <v>0</v>
      </c>
    </row>
  </sheetData>
  <mergeCells count="24">
    <mergeCell ref="A167:C167"/>
    <mergeCell ref="A90:C90"/>
    <mergeCell ref="A97:C97"/>
    <mergeCell ref="A104:C104"/>
    <mergeCell ref="A111:C111"/>
    <mergeCell ref="A118:C118"/>
    <mergeCell ref="A125:C125"/>
    <mergeCell ref="A132:C132"/>
    <mergeCell ref="A139:C139"/>
    <mergeCell ref="A146:C146"/>
    <mergeCell ref="A153:C153"/>
    <mergeCell ref="A160:C160"/>
    <mergeCell ref="A83:C83"/>
    <mergeCell ref="A6:C6"/>
    <mergeCell ref="A13:C13"/>
    <mergeCell ref="A20:C20"/>
    <mergeCell ref="A27:C27"/>
    <mergeCell ref="A34:C34"/>
    <mergeCell ref="A41:C41"/>
    <mergeCell ref="A48:C48"/>
    <mergeCell ref="A55:C55"/>
    <mergeCell ref="A62:C62"/>
    <mergeCell ref="A69:C69"/>
    <mergeCell ref="A76:C7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4460-E922-4C06-A785-C5AEE03D967C}">
  <sheetPr codeName="Sheet3"/>
  <dimension ref="A1:C172"/>
  <sheetViews>
    <sheetView topLeftCell="A120" workbookViewId="0">
      <selection activeCell="E35" sqref="E35:F35"/>
    </sheetView>
  </sheetViews>
  <sheetFormatPr defaultRowHeight="15" x14ac:dyDescent="0.25"/>
  <cols>
    <col min="1" max="1" width="26.42578125" bestFit="1" customWidth="1"/>
    <col min="3" max="3" width="20.140625" bestFit="1" customWidth="1"/>
  </cols>
  <sheetData>
    <row r="1" spans="1:3" ht="15.75" thickBot="1" x14ac:dyDescent="0.3">
      <c r="A1" s="1" t="s">
        <v>5</v>
      </c>
      <c r="B1" s="1" t="s">
        <v>6</v>
      </c>
      <c r="C1" s="1" t="s">
        <v>7</v>
      </c>
    </row>
    <row r="2" spans="1:3" x14ac:dyDescent="0.25">
      <c r="A2" t="s">
        <v>0</v>
      </c>
      <c r="B2">
        <v>600</v>
      </c>
      <c r="C2" t="s">
        <v>3</v>
      </c>
    </row>
    <row r="3" spans="1:3" x14ac:dyDescent="0.25">
      <c r="A3" t="s">
        <v>1</v>
      </c>
      <c r="B3">
        <v>120</v>
      </c>
      <c r="C3" t="s">
        <v>3</v>
      </c>
    </row>
    <row r="4" spans="1:3" x14ac:dyDescent="0.25">
      <c r="A4" t="s">
        <v>2</v>
      </c>
      <c r="B4">
        <v>1800</v>
      </c>
      <c r="C4" t="s">
        <v>4</v>
      </c>
    </row>
    <row r="6" spans="1:3" x14ac:dyDescent="0.25">
      <c r="A6" s="4" t="s">
        <v>8</v>
      </c>
      <c r="B6" s="4"/>
      <c r="C6" s="4"/>
    </row>
    <row r="7" spans="1:3" x14ac:dyDescent="0.25">
      <c r="A7" t="s">
        <v>9</v>
      </c>
      <c r="B7">
        <v>0</v>
      </c>
      <c r="C7" t="s">
        <v>3</v>
      </c>
    </row>
    <row r="8" spans="1:3" x14ac:dyDescent="0.25">
      <c r="A8" t="s">
        <v>10</v>
      </c>
      <c r="B8">
        <v>1</v>
      </c>
      <c r="C8" t="s">
        <v>14</v>
      </c>
    </row>
    <row r="9" spans="1:3" x14ac:dyDescent="0.25">
      <c r="A9" t="s">
        <v>12</v>
      </c>
      <c r="B9">
        <v>2.78</v>
      </c>
      <c r="C9" t="s">
        <v>4</v>
      </c>
    </row>
    <row r="10" spans="1:3" x14ac:dyDescent="0.25">
      <c r="A10" t="s">
        <v>11</v>
      </c>
      <c r="B10">
        <v>124.9</v>
      </c>
      <c r="C10" t="s">
        <v>4</v>
      </c>
    </row>
    <row r="11" spans="1:3" x14ac:dyDescent="0.25">
      <c r="A11" t="s">
        <v>13</v>
      </c>
      <c r="B11">
        <v>0</v>
      </c>
    </row>
    <row r="13" spans="1:3" x14ac:dyDescent="0.25">
      <c r="A13" s="4" t="s">
        <v>15</v>
      </c>
      <c r="B13" s="4"/>
      <c r="C13" s="4"/>
    </row>
    <row r="14" spans="1:3" x14ac:dyDescent="0.25">
      <c r="A14" t="s">
        <v>9</v>
      </c>
      <c r="B14">
        <v>0</v>
      </c>
      <c r="C14" t="s">
        <v>3</v>
      </c>
    </row>
    <row r="15" spans="1:3" x14ac:dyDescent="0.25">
      <c r="A15" t="s">
        <v>10</v>
      </c>
      <c r="B15">
        <v>1</v>
      </c>
      <c r="C15" t="s">
        <v>14</v>
      </c>
    </row>
    <row r="16" spans="1:3" x14ac:dyDescent="0.25">
      <c r="A16" t="s">
        <v>12</v>
      </c>
      <c r="B16">
        <v>2.98</v>
      </c>
      <c r="C16" t="s">
        <v>4</v>
      </c>
    </row>
    <row r="17" spans="1:3" x14ac:dyDescent="0.25">
      <c r="A17" t="s">
        <v>11</v>
      </c>
      <c r="B17">
        <v>185.2</v>
      </c>
      <c r="C17" t="s">
        <v>4</v>
      </c>
    </row>
    <row r="18" spans="1:3" x14ac:dyDescent="0.25">
      <c r="A18" t="s">
        <v>13</v>
      </c>
      <c r="B18">
        <v>0</v>
      </c>
    </row>
    <row r="20" spans="1:3" x14ac:dyDescent="0.25">
      <c r="A20" s="4" t="s">
        <v>16</v>
      </c>
      <c r="B20" s="4"/>
      <c r="C20" s="4"/>
    </row>
    <row r="21" spans="1:3" x14ac:dyDescent="0.25">
      <c r="A21" t="s">
        <v>9</v>
      </c>
      <c r="B21">
        <v>0</v>
      </c>
      <c r="C21" t="s">
        <v>3</v>
      </c>
    </row>
    <row r="22" spans="1:3" x14ac:dyDescent="0.25">
      <c r="A22" t="s">
        <v>10</v>
      </c>
      <c r="B22">
        <v>1</v>
      </c>
      <c r="C22" t="s">
        <v>14</v>
      </c>
    </row>
    <row r="23" spans="1:3" x14ac:dyDescent="0.25">
      <c r="A23" t="s">
        <v>12</v>
      </c>
      <c r="B23">
        <v>2.06</v>
      </c>
      <c r="C23" t="s">
        <v>4</v>
      </c>
    </row>
    <row r="24" spans="1:3" x14ac:dyDescent="0.25">
      <c r="A24" t="s">
        <v>11</v>
      </c>
      <c r="B24">
        <v>20.3</v>
      </c>
      <c r="C24" t="s">
        <v>4</v>
      </c>
    </row>
    <row r="25" spans="1:3" x14ac:dyDescent="0.25">
      <c r="A25" t="s">
        <v>13</v>
      </c>
      <c r="B25">
        <v>0</v>
      </c>
    </row>
    <row r="27" spans="1:3" x14ac:dyDescent="0.25">
      <c r="A27" s="4" t="s">
        <v>17</v>
      </c>
      <c r="B27" s="4"/>
      <c r="C27" s="4"/>
    </row>
    <row r="28" spans="1:3" x14ac:dyDescent="0.25">
      <c r="A28" t="s">
        <v>9</v>
      </c>
      <c r="B28">
        <v>0</v>
      </c>
      <c r="C28" t="s">
        <v>3</v>
      </c>
    </row>
    <row r="29" spans="1:3" x14ac:dyDescent="0.25">
      <c r="A29" t="s">
        <v>10</v>
      </c>
      <c r="B29">
        <v>1</v>
      </c>
      <c r="C29" t="s">
        <v>14</v>
      </c>
    </row>
    <row r="30" spans="1:3" x14ac:dyDescent="0.25">
      <c r="A30" t="s">
        <v>12</v>
      </c>
      <c r="B30">
        <v>1.82</v>
      </c>
      <c r="C30" t="s">
        <v>4</v>
      </c>
    </row>
    <row r="31" spans="1:3" x14ac:dyDescent="0.25">
      <c r="A31" t="s">
        <v>11</v>
      </c>
      <c r="B31">
        <v>44.400000000000006</v>
      </c>
      <c r="C31" t="s">
        <v>4</v>
      </c>
    </row>
    <row r="32" spans="1:3" x14ac:dyDescent="0.25">
      <c r="A32" t="s">
        <v>13</v>
      </c>
      <c r="B32">
        <v>0</v>
      </c>
    </row>
    <row r="34" spans="1:3" x14ac:dyDescent="0.25">
      <c r="A34" s="4" t="s">
        <v>18</v>
      </c>
      <c r="B34" s="4"/>
      <c r="C34" s="4"/>
    </row>
    <row r="35" spans="1:3" x14ac:dyDescent="0.25">
      <c r="A35" t="s">
        <v>9</v>
      </c>
      <c r="B35">
        <f>endingStock!F4</f>
        <v>600</v>
      </c>
      <c r="C35" t="s">
        <v>3</v>
      </c>
    </row>
    <row r="36" spans="1:3" x14ac:dyDescent="0.25">
      <c r="A36" t="s">
        <v>10</v>
      </c>
      <c r="B36">
        <v>1</v>
      </c>
      <c r="C36" t="s">
        <v>14</v>
      </c>
    </row>
    <row r="37" spans="1:3" x14ac:dyDescent="0.25">
      <c r="A37" t="s">
        <v>12</v>
      </c>
      <c r="B37">
        <v>14.31</v>
      </c>
      <c r="C37" t="s">
        <v>4</v>
      </c>
    </row>
    <row r="38" spans="1:3" x14ac:dyDescent="0.25">
      <c r="A38" t="s">
        <v>11</v>
      </c>
      <c r="B38">
        <v>224.54</v>
      </c>
      <c r="C38" t="s">
        <v>4</v>
      </c>
    </row>
    <row r="39" spans="1:3" x14ac:dyDescent="0.25">
      <c r="A39" t="s">
        <v>13</v>
      </c>
      <c r="B39">
        <v>0</v>
      </c>
    </row>
    <row r="41" spans="1:3" x14ac:dyDescent="0.25">
      <c r="A41" s="4" t="s">
        <v>19</v>
      </c>
      <c r="B41" s="4"/>
      <c r="C41" s="4"/>
    </row>
    <row r="42" spans="1:3" x14ac:dyDescent="0.25">
      <c r="A42" t="s">
        <v>9</v>
      </c>
      <c r="B42">
        <f>endingStock!G3</f>
        <v>2269</v>
      </c>
      <c r="C42" t="s">
        <v>3</v>
      </c>
    </row>
    <row r="43" spans="1:3" x14ac:dyDescent="0.25">
      <c r="A43" t="s">
        <v>10</v>
      </c>
      <c r="B43">
        <v>1</v>
      </c>
      <c r="C43" t="s">
        <v>14</v>
      </c>
    </row>
    <row r="44" spans="1:3" x14ac:dyDescent="0.25">
      <c r="A44" t="s">
        <v>12</v>
      </c>
      <c r="B44">
        <v>8.32</v>
      </c>
      <c r="C44" t="s">
        <v>4</v>
      </c>
    </row>
    <row r="45" spans="1:3" x14ac:dyDescent="0.25">
      <c r="A45" t="s">
        <v>11</v>
      </c>
      <c r="B45">
        <v>141.69999999999999</v>
      </c>
      <c r="C45" t="s">
        <v>4</v>
      </c>
    </row>
    <row r="46" spans="1:3" x14ac:dyDescent="0.25">
      <c r="A46" t="s">
        <v>13</v>
      </c>
      <c r="B46">
        <v>0</v>
      </c>
    </row>
    <row r="48" spans="1:3" x14ac:dyDescent="0.25">
      <c r="A48" s="4" t="s">
        <v>20</v>
      </c>
      <c r="B48" s="4"/>
      <c r="C48" s="4"/>
    </row>
    <row r="49" spans="1:3" x14ac:dyDescent="0.25">
      <c r="A49" t="s">
        <v>9</v>
      </c>
      <c r="B49">
        <f>endingStock!F5</f>
        <v>600</v>
      </c>
      <c r="C49" t="s">
        <v>3</v>
      </c>
    </row>
    <row r="50" spans="1:3" x14ac:dyDescent="0.25">
      <c r="A50" t="s">
        <v>10</v>
      </c>
      <c r="B50">
        <v>1</v>
      </c>
      <c r="C50" t="s">
        <v>14</v>
      </c>
    </row>
    <row r="51" spans="1:3" x14ac:dyDescent="0.25">
      <c r="A51" t="s">
        <v>12</v>
      </c>
      <c r="B51">
        <v>11.07</v>
      </c>
      <c r="C51" t="s">
        <v>4</v>
      </c>
    </row>
    <row r="52" spans="1:3" x14ac:dyDescent="0.25">
      <c r="A52" t="s">
        <v>11</v>
      </c>
      <c r="B52">
        <v>100.46</v>
      </c>
      <c r="C52" t="s">
        <v>4</v>
      </c>
    </row>
    <row r="53" spans="1:3" x14ac:dyDescent="0.25">
      <c r="A53" t="s">
        <v>13</v>
      </c>
      <c r="B53">
        <v>0</v>
      </c>
    </row>
    <row r="55" spans="1:3" x14ac:dyDescent="0.25">
      <c r="A55" s="4" t="s">
        <v>21</v>
      </c>
      <c r="B55" s="4"/>
      <c r="C55" s="4"/>
    </row>
    <row r="56" spans="1:3" x14ac:dyDescent="0.25">
      <c r="A56" t="s">
        <v>9</v>
      </c>
      <c r="B56">
        <f>endingStock!F6</f>
        <v>5</v>
      </c>
      <c r="C56" t="s">
        <v>3</v>
      </c>
    </row>
    <row r="57" spans="1:3" x14ac:dyDescent="0.25">
      <c r="A57" t="s">
        <v>10</v>
      </c>
      <c r="B57">
        <v>1</v>
      </c>
      <c r="C57" t="s">
        <v>14</v>
      </c>
    </row>
    <row r="58" spans="1:3" x14ac:dyDescent="0.25">
      <c r="A58" t="s">
        <v>12</v>
      </c>
      <c r="B58">
        <v>0</v>
      </c>
      <c r="C58" t="s">
        <v>4</v>
      </c>
    </row>
    <row r="59" spans="1:3" x14ac:dyDescent="0.25">
      <c r="A59" t="s">
        <v>11</v>
      </c>
      <c r="B59">
        <v>153.38</v>
      </c>
      <c r="C59" t="s">
        <v>4</v>
      </c>
    </row>
    <row r="60" spans="1:3" x14ac:dyDescent="0.25">
      <c r="A60" t="s">
        <v>13</v>
      </c>
      <c r="B60">
        <v>0</v>
      </c>
    </row>
    <row r="62" spans="1:3" x14ac:dyDescent="0.25">
      <c r="A62" s="4" t="s">
        <v>22</v>
      </c>
      <c r="B62" s="4"/>
      <c r="C62" s="4"/>
    </row>
    <row r="63" spans="1:3" x14ac:dyDescent="0.25">
      <c r="A63" t="s">
        <v>9</v>
      </c>
      <c r="B63">
        <f>endingStock!F7</f>
        <v>600</v>
      </c>
      <c r="C63" t="s">
        <v>3</v>
      </c>
    </row>
    <row r="64" spans="1:3" x14ac:dyDescent="0.25">
      <c r="A64" t="s">
        <v>10</v>
      </c>
      <c r="B64">
        <v>1</v>
      </c>
      <c r="C64" t="s">
        <v>14</v>
      </c>
    </row>
    <row r="65" spans="1:3" x14ac:dyDescent="0.25">
      <c r="A65" t="s">
        <v>12</v>
      </c>
      <c r="B65">
        <v>35.770000000000003</v>
      </c>
      <c r="C65" t="s">
        <v>4</v>
      </c>
    </row>
    <row r="66" spans="1:3" x14ac:dyDescent="0.25">
      <c r="A66" t="s">
        <v>11</v>
      </c>
      <c r="B66">
        <v>238.5</v>
      </c>
      <c r="C66" t="s">
        <v>4</v>
      </c>
    </row>
    <row r="67" spans="1:3" x14ac:dyDescent="0.25">
      <c r="A67" t="s">
        <v>13</v>
      </c>
      <c r="B67">
        <v>0</v>
      </c>
    </row>
    <row r="69" spans="1:3" x14ac:dyDescent="0.25">
      <c r="A69" s="4" t="s">
        <v>23</v>
      </c>
      <c r="B69" s="4"/>
      <c r="C69" s="4"/>
    </row>
    <row r="70" spans="1:3" x14ac:dyDescent="0.25">
      <c r="A70" t="s">
        <v>9</v>
      </c>
      <c r="B70">
        <f>endingStock!F8</f>
        <v>600</v>
      </c>
      <c r="C70" t="s">
        <v>3</v>
      </c>
    </row>
    <row r="71" spans="1:3" x14ac:dyDescent="0.25">
      <c r="A71" t="s">
        <v>10</v>
      </c>
      <c r="B71">
        <v>1</v>
      </c>
      <c r="C71" t="s">
        <v>14</v>
      </c>
    </row>
    <row r="72" spans="1:3" x14ac:dyDescent="0.25">
      <c r="A72" t="s">
        <v>12</v>
      </c>
      <c r="B72">
        <v>13.86</v>
      </c>
      <c r="C72" t="s">
        <v>4</v>
      </c>
    </row>
    <row r="73" spans="1:3" x14ac:dyDescent="0.25">
      <c r="A73" t="s">
        <v>11</v>
      </c>
      <c r="B73">
        <v>127.1</v>
      </c>
      <c r="C73" t="s">
        <v>4</v>
      </c>
    </row>
    <row r="74" spans="1:3" x14ac:dyDescent="0.25">
      <c r="A74" t="s">
        <v>13</v>
      </c>
      <c r="B74">
        <v>0</v>
      </c>
    </row>
    <row r="76" spans="1:3" x14ac:dyDescent="0.25">
      <c r="A76" s="4" t="s">
        <v>24</v>
      </c>
      <c r="B76" s="4"/>
      <c r="C76" s="4"/>
    </row>
    <row r="77" spans="1:3" x14ac:dyDescent="0.25">
      <c r="A77" t="s">
        <v>9</v>
      </c>
      <c r="B77">
        <v>0</v>
      </c>
      <c r="C77" t="s">
        <v>3</v>
      </c>
    </row>
    <row r="78" spans="1:3" x14ac:dyDescent="0.25">
      <c r="A78" t="s">
        <v>10</v>
      </c>
      <c r="B78">
        <v>1</v>
      </c>
      <c r="C78" t="s">
        <v>14</v>
      </c>
    </row>
    <row r="79" spans="1:3" x14ac:dyDescent="0.25">
      <c r="A79" t="s">
        <v>12</v>
      </c>
      <c r="B79">
        <v>21.71</v>
      </c>
      <c r="C79" t="s">
        <v>4</v>
      </c>
    </row>
    <row r="80" spans="1:3" x14ac:dyDescent="0.25">
      <c r="A80" t="s">
        <v>11</v>
      </c>
      <c r="B80">
        <v>449.61</v>
      </c>
      <c r="C80" t="s">
        <v>4</v>
      </c>
    </row>
    <row r="81" spans="1:3" x14ac:dyDescent="0.25">
      <c r="A81" t="s">
        <v>13</v>
      </c>
      <c r="B81">
        <v>0</v>
      </c>
    </row>
    <row r="83" spans="1:3" x14ac:dyDescent="0.25">
      <c r="A83" s="4" t="s">
        <v>25</v>
      </c>
      <c r="B83" s="4"/>
      <c r="C83" s="4"/>
    </row>
    <row r="84" spans="1:3" x14ac:dyDescent="0.25">
      <c r="A84" t="s">
        <v>9</v>
      </c>
      <c r="B84">
        <v>0</v>
      </c>
      <c r="C84" t="s">
        <v>3</v>
      </c>
    </row>
    <row r="85" spans="1:3" x14ac:dyDescent="0.25">
      <c r="A85" t="s">
        <v>10</v>
      </c>
      <c r="B85">
        <v>1</v>
      </c>
      <c r="C85" t="s">
        <v>14</v>
      </c>
    </row>
    <row r="86" spans="1:3" x14ac:dyDescent="0.25">
      <c r="A86" t="s">
        <v>12</v>
      </c>
      <c r="B86">
        <v>1.87</v>
      </c>
      <c r="C86" t="s">
        <v>4</v>
      </c>
    </row>
    <row r="87" spans="1:3" x14ac:dyDescent="0.25">
      <c r="A87" t="s">
        <v>11</v>
      </c>
      <c r="B87">
        <v>75.899999999999991</v>
      </c>
      <c r="C87" t="s">
        <v>4</v>
      </c>
    </row>
    <row r="88" spans="1:3" x14ac:dyDescent="0.25">
      <c r="A88" t="s">
        <v>13</v>
      </c>
      <c r="B88">
        <v>0</v>
      </c>
    </row>
    <row r="90" spans="1:3" x14ac:dyDescent="0.25">
      <c r="A90" s="4" t="s">
        <v>26</v>
      </c>
      <c r="B90" s="4"/>
      <c r="C90" s="4"/>
    </row>
    <row r="91" spans="1:3" x14ac:dyDescent="0.25">
      <c r="A91" t="s">
        <v>9</v>
      </c>
      <c r="B91">
        <f>endingStock!F9</f>
        <v>600</v>
      </c>
      <c r="C91" t="s">
        <v>3</v>
      </c>
    </row>
    <row r="92" spans="1:3" x14ac:dyDescent="0.25">
      <c r="A92" t="s">
        <v>10</v>
      </c>
      <c r="B92">
        <v>1</v>
      </c>
      <c r="C92" t="s">
        <v>14</v>
      </c>
    </row>
    <row r="93" spans="1:3" x14ac:dyDescent="0.25">
      <c r="A93" t="s">
        <v>12</v>
      </c>
      <c r="B93">
        <v>9.92</v>
      </c>
      <c r="C93" t="s">
        <v>4</v>
      </c>
    </row>
    <row r="94" spans="1:3" x14ac:dyDescent="0.25">
      <c r="A94" t="s">
        <v>11</v>
      </c>
      <c r="B94">
        <v>67.3</v>
      </c>
      <c r="C94" t="s">
        <v>4</v>
      </c>
    </row>
    <row r="95" spans="1:3" x14ac:dyDescent="0.25">
      <c r="A95" t="s">
        <v>13</v>
      </c>
      <c r="B95">
        <v>0</v>
      </c>
    </row>
    <row r="97" spans="1:3" x14ac:dyDescent="0.25">
      <c r="A97" s="4" t="s">
        <v>27</v>
      </c>
      <c r="B97" s="4"/>
      <c r="C97" s="4"/>
    </row>
    <row r="98" spans="1:3" x14ac:dyDescent="0.25">
      <c r="A98" t="s">
        <v>9</v>
      </c>
      <c r="B98">
        <f>endingStock!F10</f>
        <v>600</v>
      </c>
      <c r="C98" t="s">
        <v>3</v>
      </c>
    </row>
    <row r="99" spans="1:3" x14ac:dyDescent="0.25">
      <c r="A99" t="s">
        <v>10</v>
      </c>
      <c r="B99">
        <v>1</v>
      </c>
      <c r="C99" t="s">
        <v>14</v>
      </c>
    </row>
    <row r="100" spans="1:3" x14ac:dyDescent="0.25">
      <c r="A100" t="s">
        <v>12</v>
      </c>
      <c r="B100">
        <v>2.13</v>
      </c>
      <c r="C100" t="s">
        <v>4</v>
      </c>
    </row>
    <row r="101" spans="1:3" x14ac:dyDescent="0.25">
      <c r="A101" t="s">
        <v>11</v>
      </c>
      <c r="B101">
        <v>28.9</v>
      </c>
      <c r="C101" t="s">
        <v>4</v>
      </c>
    </row>
    <row r="102" spans="1:3" x14ac:dyDescent="0.25">
      <c r="A102" t="s">
        <v>13</v>
      </c>
      <c r="B102">
        <v>0</v>
      </c>
    </row>
    <row r="104" spans="1:3" x14ac:dyDescent="0.25">
      <c r="A104" s="4" t="s">
        <v>28</v>
      </c>
      <c r="B104" s="4"/>
      <c r="C104" s="4"/>
    </row>
    <row r="105" spans="1:3" x14ac:dyDescent="0.25">
      <c r="A105" t="s">
        <v>9</v>
      </c>
      <c r="B105">
        <f>endingStock!F11</f>
        <v>600</v>
      </c>
      <c r="C105" t="s">
        <v>3</v>
      </c>
    </row>
    <row r="106" spans="1:3" x14ac:dyDescent="0.25">
      <c r="A106" t="s">
        <v>10</v>
      </c>
      <c r="B106">
        <v>1</v>
      </c>
      <c r="C106" t="s">
        <v>14</v>
      </c>
    </row>
    <row r="107" spans="1:3" x14ac:dyDescent="0.25">
      <c r="A107" t="s">
        <v>12</v>
      </c>
      <c r="B107">
        <v>5.28</v>
      </c>
      <c r="C107" t="s">
        <v>4</v>
      </c>
    </row>
    <row r="108" spans="1:3" x14ac:dyDescent="0.25">
      <c r="A108" t="s">
        <v>11</v>
      </c>
      <c r="B108">
        <v>108.75</v>
      </c>
      <c r="C108" t="s">
        <v>4</v>
      </c>
    </row>
    <row r="109" spans="1:3" x14ac:dyDescent="0.25">
      <c r="A109" t="s">
        <v>13</v>
      </c>
      <c r="B109">
        <v>0</v>
      </c>
    </row>
    <row r="111" spans="1:3" x14ac:dyDescent="0.25">
      <c r="A111" s="4" t="s">
        <v>29</v>
      </c>
      <c r="B111" s="4"/>
      <c r="C111" s="4"/>
    </row>
    <row r="112" spans="1:3" x14ac:dyDescent="0.25">
      <c r="A112" t="s">
        <v>9</v>
      </c>
      <c r="B112">
        <f>endingStock!F12</f>
        <v>600</v>
      </c>
      <c r="C112" t="s">
        <v>3</v>
      </c>
    </row>
    <row r="113" spans="1:3" x14ac:dyDescent="0.25">
      <c r="A113" t="s">
        <v>10</v>
      </c>
      <c r="B113">
        <v>1</v>
      </c>
      <c r="C113" t="s">
        <v>14</v>
      </c>
    </row>
    <row r="114" spans="1:3" x14ac:dyDescent="0.25">
      <c r="A114" t="s">
        <v>12</v>
      </c>
      <c r="B114">
        <v>3.82</v>
      </c>
      <c r="C114" t="s">
        <v>4</v>
      </c>
    </row>
    <row r="115" spans="1:3" x14ac:dyDescent="0.25">
      <c r="A115" t="s">
        <v>11</v>
      </c>
      <c r="B115">
        <v>339.8</v>
      </c>
      <c r="C115" t="s">
        <v>4</v>
      </c>
    </row>
    <row r="116" spans="1:3" x14ac:dyDescent="0.25">
      <c r="A116" t="s">
        <v>13</v>
      </c>
      <c r="B116">
        <v>0</v>
      </c>
    </row>
    <row r="118" spans="1:3" x14ac:dyDescent="0.25">
      <c r="A118" s="4" t="s">
        <v>30</v>
      </c>
      <c r="B118" s="4"/>
      <c r="C118" s="4"/>
    </row>
    <row r="119" spans="1:3" x14ac:dyDescent="0.25">
      <c r="A119" t="s">
        <v>9</v>
      </c>
      <c r="B119">
        <f>endingStock!F13</f>
        <v>600</v>
      </c>
      <c r="C119" t="s">
        <v>3</v>
      </c>
    </row>
    <row r="120" spans="1:3" x14ac:dyDescent="0.25">
      <c r="A120" t="s">
        <v>10</v>
      </c>
      <c r="B120">
        <v>1</v>
      </c>
      <c r="C120" t="s">
        <v>14</v>
      </c>
    </row>
    <row r="121" spans="1:3" x14ac:dyDescent="0.25">
      <c r="A121" t="s">
        <v>12</v>
      </c>
      <c r="B121">
        <v>2.4900000000000002</v>
      </c>
      <c r="C121" t="s">
        <v>4</v>
      </c>
    </row>
    <row r="122" spans="1:3" x14ac:dyDescent="0.25">
      <c r="A122" t="s">
        <v>11</v>
      </c>
      <c r="B122">
        <v>53</v>
      </c>
      <c r="C122" t="s">
        <v>4</v>
      </c>
    </row>
    <row r="123" spans="1:3" x14ac:dyDescent="0.25">
      <c r="A123" t="s">
        <v>13</v>
      </c>
      <c r="B123">
        <v>0</v>
      </c>
    </row>
    <row r="125" spans="1:3" x14ac:dyDescent="0.25">
      <c r="A125" s="4" t="s">
        <v>31</v>
      </c>
      <c r="B125" s="4"/>
      <c r="C125" s="4"/>
    </row>
    <row r="126" spans="1:3" x14ac:dyDescent="0.25">
      <c r="A126" t="s">
        <v>9</v>
      </c>
      <c r="B126">
        <v>0</v>
      </c>
      <c r="C126" t="s">
        <v>3</v>
      </c>
    </row>
    <row r="127" spans="1:3" x14ac:dyDescent="0.25">
      <c r="A127" t="s">
        <v>10</v>
      </c>
      <c r="B127">
        <v>1</v>
      </c>
      <c r="C127" t="s">
        <v>14</v>
      </c>
    </row>
    <row r="128" spans="1:3" x14ac:dyDescent="0.25">
      <c r="A128" t="s">
        <v>12</v>
      </c>
      <c r="B128">
        <v>4.21</v>
      </c>
      <c r="C128" t="s">
        <v>4</v>
      </c>
    </row>
    <row r="129" spans="1:3" x14ac:dyDescent="0.25">
      <c r="A129" t="s">
        <v>11</v>
      </c>
      <c r="B129">
        <v>73.600000000000009</v>
      </c>
      <c r="C129" t="s">
        <v>4</v>
      </c>
    </row>
    <row r="130" spans="1:3" x14ac:dyDescent="0.25">
      <c r="A130" t="s">
        <v>13</v>
      </c>
      <c r="B130">
        <v>0</v>
      </c>
    </row>
    <row r="132" spans="1:3" x14ac:dyDescent="0.25">
      <c r="A132" s="4" t="s">
        <v>32</v>
      </c>
      <c r="B132" s="4"/>
      <c r="C132" s="4"/>
    </row>
    <row r="133" spans="1:3" x14ac:dyDescent="0.25">
      <c r="A133" t="s">
        <v>9</v>
      </c>
      <c r="B133">
        <f>endingStock!F15</f>
        <v>600</v>
      </c>
      <c r="C133" t="s">
        <v>3</v>
      </c>
    </row>
    <row r="134" spans="1:3" x14ac:dyDescent="0.25">
      <c r="A134" t="s">
        <v>10</v>
      </c>
      <c r="B134">
        <v>1</v>
      </c>
      <c r="C134" t="s">
        <v>14</v>
      </c>
    </row>
    <row r="135" spans="1:3" x14ac:dyDescent="0.25">
      <c r="A135" t="s">
        <v>12</v>
      </c>
      <c r="B135">
        <v>17.09</v>
      </c>
      <c r="C135" t="s">
        <v>4</v>
      </c>
    </row>
    <row r="136" spans="1:3" x14ac:dyDescent="0.25">
      <c r="A136" t="s">
        <v>11</v>
      </c>
      <c r="B136">
        <v>301.7</v>
      </c>
      <c r="C136" t="s">
        <v>4</v>
      </c>
    </row>
    <row r="137" spans="1:3" x14ac:dyDescent="0.25">
      <c r="A137" t="s">
        <v>13</v>
      </c>
      <c r="B137">
        <v>0</v>
      </c>
    </row>
    <row r="139" spans="1:3" x14ac:dyDescent="0.25">
      <c r="A139" s="4" t="s">
        <v>33</v>
      </c>
      <c r="B139" s="4"/>
      <c r="C139" s="4"/>
    </row>
    <row r="140" spans="1:3" x14ac:dyDescent="0.25">
      <c r="A140" t="s">
        <v>9</v>
      </c>
      <c r="B140">
        <f>endingStock!F14</f>
        <v>600</v>
      </c>
      <c r="C140" t="s">
        <v>3</v>
      </c>
    </row>
    <row r="141" spans="1:3" x14ac:dyDescent="0.25">
      <c r="A141" t="s">
        <v>10</v>
      </c>
      <c r="B141">
        <v>1</v>
      </c>
      <c r="C141" t="s">
        <v>14</v>
      </c>
    </row>
    <row r="142" spans="1:3" x14ac:dyDescent="0.25">
      <c r="A142" t="s">
        <v>12</v>
      </c>
      <c r="B142">
        <v>2.12</v>
      </c>
      <c r="C142" t="s">
        <v>4</v>
      </c>
    </row>
    <row r="143" spans="1:3" x14ac:dyDescent="0.25">
      <c r="A143" t="s">
        <v>11</v>
      </c>
      <c r="B143">
        <v>53.4</v>
      </c>
      <c r="C143" t="s">
        <v>4</v>
      </c>
    </row>
    <row r="144" spans="1:3" x14ac:dyDescent="0.25">
      <c r="A144" t="s">
        <v>13</v>
      </c>
      <c r="B144">
        <v>0</v>
      </c>
    </row>
    <row r="146" spans="1:3" x14ac:dyDescent="0.25">
      <c r="A146" s="4" t="s">
        <v>34</v>
      </c>
      <c r="B146" s="4"/>
      <c r="C146" s="4"/>
    </row>
    <row r="147" spans="1:3" x14ac:dyDescent="0.25">
      <c r="A147" t="s">
        <v>9</v>
      </c>
      <c r="B147">
        <f>endingStock!F16</f>
        <v>600</v>
      </c>
      <c r="C147" t="s">
        <v>3</v>
      </c>
    </row>
    <row r="148" spans="1:3" x14ac:dyDescent="0.25">
      <c r="A148" t="s">
        <v>10</v>
      </c>
      <c r="B148">
        <v>1</v>
      </c>
      <c r="C148" t="s">
        <v>14</v>
      </c>
    </row>
    <row r="149" spans="1:3" x14ac:dyDescent="0.25">
      <c r="A149" t="s">
        <v>12</v>
      </c>
      <c r="B149">
        <v>1.57</v>
      </c>
      <c r="C149" t="s">
        <v>4</v>
      </c>
    </row>
    <row r="150" spans="1:3" x14ac:dyDescent="0.25">
      <c r="A150" t="s">
        <v>11</v>
      </c>
      <c r="B150">
        <v>56.3</v>
      </c>
      <c r="C150" t="s">
        <v>4</v>
      </c>
    </row>
    <row r="151" spans="1:3" x14ac:dyDescent="0.25">
      <c r="A151" t="s">
        <v>13</v>
      </c>
      <c r="B151">
        <v>0</v>
      </c>
    </row>
    <row r="153" spans="1:3" x14ac:dyDescent="0.25">
      <c r="A153" s="4" t="s">
        <v>35</v>
      </c>
      <c r="B153" s="4"/>
      <c r="C153" s="4"/>
    </row>
    <row r="154" spans="1:3" x14ac:dyDescent="0.25">
      <c r="A154" t="s">
        <v>9</v>
      </c>
      <c r="B154">
        <v>0</v>
      </c>
      <c r="C154" t="s">
        <v>3</v>
      </c>
    </row>
    <row r="155" spans="1:3" x14ac:dyDescent="0.25">
      <c r="A155" t="s">
        <v>10</v>
      </c>
      <c r="B155">
        <v>1</v>
      </c>
      <c r="C155" t="s">
        <v>14</v>
      </c>
    </row>
    <row r="156" spans="1:3" x14ac:dyDescent="0.25">
      <c r="A156" t="s">
        <v>12</v>
      </c>
      <c r="B156">
        <v>39.700000000000003</v>
      </c>
      <c r="C156" t="s">
        <v>4</v>
      </c>
    </row>
    <row r="157" spans="1:3" x14ac:dyDescent="0.25">
      <c r="A157" t="s">
        <v>11</v>
      </c>
      <c r="B157">
        <v>285.39999999999998</v>
      </c>
      <c r="C157" t="s">
        <v>4</v>
      </c>
    </row>
    <row r="158" spans="1:3" x14ac:dyDescent="0.25">
      <c r="A158" t="s">
        <v>13</v>
      </c>
      <c r="B158">
        <v>0</v>
      </c>
    </row>
    <row r="160" spans="1:3" x14ac:dyDescent="0.25">
      <c r="A160" s="4" t="s">
        <v>36</v>
      </c>
      <c r="B160" s="4"/>
      <c r="C160" s="4"/>
    </row>
    <row r="161" spans="1:3" x14ac:dyDescent="0.25">
      <c r="A161" t="s">
        <v>9</v>
      </c>
      <c r="B161">
        <f>endingStock!F17</f>
        <v>0</v>
      </c>
      <c r="C161" t="s">
        <v>3</v>
      </c>
    </row>
    <row r="162" spans="1:3" x14ac:dyDescent="0.25">
      <c r="A162" t="s">
        <v>10</v>
      </c>
      <c r="B162">
        <v>1</v>
      </c>
      <c r="C162" t="s">
        <v>14</v>
      </c>
    </row>
    <row r="163" spans="1:3" x14ac:dyDescent="0.25">
      <c r="A163" t="s">
        <v>12</v>
      </c>
      <c r="B163">
        <v>0</v>
      </c>
      <c r="C163" t="s">
        <v>4</v>
      </c>
    </row>
    <row r="164" spans="1:3" x14ac:dyDescent="0.25">
      <c r="A164" t="s">
        <v>11</v>
      </c>
      <c r="B164">
        <v>88.48</v>
      </c>
      <c r="C164" t="s">
        <v>4</v>
      </c>
    </row>
    <row r="165" spans="1:3" x14ac:dyDescent="0.25">
      <c r="A165" t="s">
        <v>13</v>
      </c>
      <c r="B165">
        <v>0</v>
      </c>
    </row>
    <row r="167" spans="1:3" x14ac:dyDescent="0.25">
      <c r="A167" s="4" t="s">
        <v>37</v>
      </c>
      <c r="B167" s="4"/>
      <c r="C167" s="4"/>
    </row>
    <row r="168" spans="1:3" x14ac:dyDescent="0.25">
      <c r="A168" t="s">
        <v>9</v>
      </c>
      <c r="B168">
        <f>endingStock!F18</f>
        <v>0</v>
      </c>
      <c r="C168" t="s">
        <v>3</v>
      </c>
    </row>
    <row r="169" spans="1:3" x14ac:dyDescent="0.25">
      <c r="A169" t="s">
        <v>10</v>
      </c>
      <c r="B169">
        <v>1</v>
      </c>
      <c r="C169" t="s">
        <v>14</v>
      </c>
    </row>
    <row r="170" spans="1:3" x14ac:dyDescent="0.25">
      <c r="A170" t="s">
        <v>12</v>
      </c>
      <c r="B170">
        <v>0</v>
      </c>
      <c r="C170" t="s">
        <v>4</v>
      </c>
    </row>
    <row r="171" spans="1:3" x14ac:dyDescent="0.25">
      <c r="A171" t="s">
        <v>11</v>
      </c>
      <c r="B171">
        <v>10</v>
      </c>
      <c r="C171" t="s">
        <v>4</v>
      </c>
    </row>
    <row r="172" spans="1:3" x14ac:dyDescent="0.25">
      <c r="A172" t="s">
        <v>13</v>
      </c>
      <c r="B172">
        <v>0</v>
      </c>
    </row>
  </sheetData>
  <mergeCells count="24">
    <mergeCell ref="A167:C167"/>
    <mergeCell ref="A90:C90"/>
    <mergeCell ref="A97:C97"/>
    <mergeCell ref="A104:C104"/>
    <mergeCell ref="A111:C111"/>
    <mergeCell ref="A118:C118"/>
    <mergeCell ref="A125:C125"/>
    <mergeCell ref="A132:C132"/>
    <mergeCell ref="A139:C139"/>
    <mergeCell ref="A146:C146"/>
    <mergeCell ref="A153:C153"/>
    <mergeCell ref="A160:C160"/>
    <mergeCell ref="A83:C83"/>
    <mergeCell ref="A6:C6"/>
    <mergeCell ref="A13:C13"/>
    <mergeCell ref="A20:C20"/>
    <mergeCell ref="A27:C27"/>
    <mergeCell ref="A34:C34"/>
    <mergeCell ref="A41:C41"/>
    <mergeCell ref="A48:C48"/>
    <mergeCell ref="A55:C55"/>
    <mergeCell ref="A62:C62"/>
    <mergeCell ref="A69:C69"/>
    <mergeCell ref="A76:C7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9D5603-101E-4B4A-AE32-4548F1FFCF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endingStock</vt:lpstr>
      <vt:lpstr>chart</vt:lpstr>
      <vt:lpstr>ZeroStockOpening</vt:lpstr>
      <vt:lpstr>BufferStockOpening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SMA Mazibuko</dc:creator>
  <cp:lastModifiedBy>Mr. SMA Mazibuko</cp:lastModifiedBy>
  <dcterms:created xsi:type="dcterms:W3CDTF">2025-01-19T16:00:55Z</dcterms:created>
  <dcterms:modified xsi:type="dcterms:W3CDTF">2025-01-22T06:30:43Z</dcterms:modified>
</cp:coreProperties>
</file>